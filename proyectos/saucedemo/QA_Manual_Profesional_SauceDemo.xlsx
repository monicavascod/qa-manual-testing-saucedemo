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b6aa75d7f74aca" /></Relationships>
</file>

<file path=xl/workbook.xml><?xml version="1.0" encoding="utf-8"?>
<x:workbook xmlns:x="http://schemas.openxmlformats.org/spreadsheetml/2006/main">
  <x:sheets>
    <x:sheet xmlns:r="http://schemas.openxmlformats.org/officeDocument/2006/relationships" name="Casos de Prueba" sheetId="1" r:id="Rab4f7827adad4a17"/>
    <x:sheet xmlns:r="http://schemas.openxmlformats.org/officeDocument/2006/relationships" name="Datos de Prueba" sheetId="2" r:id="Rdcd34c05fe5441e3"/>
    <x:sheet xmlns:r="http://schemas.openxmlformats.org/officeDocument/2006/relationships" name="Reporte de Bugs" sheetId="3" r:id="R8f3881dc59e741de"/>
    <x:sheet xmlns:r="http://schemas.openxmlformats.org/officeDocument/2006/relationships" name="Resumen de Ejecución" sheetId="4" r:id="R582a2b2d96e9446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quot;$&quot;#,##0.00"/>
    <x:numFmt numFmtId="201" formatCode="yyyy-mm-dd"/>
    <x:numFmt numFmtId="202" formatCode="0.0%"/>
  </x:numFmts>
  <x:fonts count="19">
    <x:font>
      <x:sz val="11"/>
      <x:name val="Carlito"/>
    </x:font>
    <x:font>
      <x:b/>
      <x:sz val="18"/>
      <x:color rgb="FFFFFFFF"/>
      <x:name val="Carlito"/>
    </x:font>
    <x:font>
      <x:i/>
      <x:sz val="9"/>
      <x:color rgb="FF243447"/>
      <x:name val="Carlito"/>
    </x:font>
    <x:font>
      <x:b/>
      <x:sz val="10"/>
      <x:color rgb="FFFFFFFF"/>
      <x:name val="Carlito"/>
    </x:font>
    <x:font>
      <x:sz val="9"/>
      <x:color rgb="FF243447"/>
      <x:name val="Carlito"/>
    </x:font>
    <x:font>
      <x:b/>
      <x:sz val="9"/>
      <x:color rgb="FF17365D"/>
      <x:name val="Carlito"/>
    </x:font>
    <x:font>
      <x:b/>
      <x:sz val="11"/>
      <x:color rgb="FFFFFFFF"/>
      <x:name val="Carlito"/>
    </x:font>
    <x:font>
      <x:sz val="10"/>
      <x:color rgb="FF243447"/>
      <x:name val="Carlito"/>
    </x:font>
    <x:font>
      <x:b/>
      <x:sz val="10"/>
      <x:color rgb="FF243447"/>
      <x:name val="Carlito"/>
    </x:font>
    <x:font>
      <x:b/>
      <x:sz val="13"/>
      <x:color rgb="FF17365D"/>
      <x:name val="Carlito"/>
    </x:font>
    <x:font>
      <x:b/>
      <x:sz val="18"/>
      <x:color rgb="FFFFFFFF"/>
      <x:name val="Aptos"/>
    </x:font>
    <x:font>
      <x:i/>
      <x:sz val="9"/>
      <x:color rgb="FF243447"/>
      <x:name val="Aptos"/>
    </x:font>
    <x:font>
      <x:sz val="11"/>
      <x:name val="Aptos"/>
    </x:font>
    <x:font>
      <x:b/>
      <x:sz val="10"/>
      <x:color rgb="FFFFFFFF"/>
      <x:name val="Aptos"/>
    </x:font>
    <x:font>
      <x:b/>
      <x:sz val="9"/>
      <x:color rgb="FF17365D"/>
      <x:name val="Aptos"/>
    </x:font>
    <x:font>
      <x:sz val="9"/>
      <x:color rgb="FF243447"/>
      <x:name val="Aptos"/>
    </x:font>
    <x:font>
      <x:b/>
      <x:sz val="11"/>
      <x:color rgb="FFFFFFFF"/>
      <x:name val="Aptos"/>
    </x:font>
    <x:font>
      <x:b/>
      <x:sz val="10"/>
      <x:color rgb="FF243447"/>
      <x:name val="Aptos"/>
    </x:font>
    <x:font>
      <x:b/>
      <x:sz val="13"/>
      <x:color rgb="FF17365D"/>
      <x:name val="Aptos"/>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4F7FA"/>
      </x:patternFill>
    </x:fill>
  </x:fills>
  <x:borders count="5">
    <x:border/>
    <x:border>
      <x:left style="thin">
        <x:color rgb="FF8EA9C1"/>
      </x:left>
      <x:right style="thin">
        <x:color rgb="FF8EA9C1"/>
      </x:right>
      <x:top style="thin">
        <x:color rgb="FF8EA9C1"/>
      </x:top>
      <x:bottom style="thin">
        <x:color rgb="FF8EA9C1"/>
      </x:bottom>
    </x:border>
    <x:border>
      <x:bottom style="thin">
        <x:color rgb="FFD5DCE5"/>
      </x:bottom>
    </x:border>
    <x:border>
      <x:top style="thin">
        <x:color rgb="FFD5DCE5"/>
      </x:top>
      <x:bottom style="thin">
        <x:color rgb="FFD5DCE5"/>
      </x:bottom>
    </x:border>
    <x:border>
      <x:left style="thin">
        <x:color rgb="FFD5DCE5"/>
      </x:left>
      <x:right style="thin">
        <x:color rgb="FFD5DCE5"/>
      </x:right>
      <x:top style="thin">
        <x:color rgb="FFD5DCE5"/>
      </x:top>
      <x:bottom style="thin">
        <x:color rgb="FFD5DCE5"/>
      </x:bottom>
    </x:border>
  </x:borders>
  <x:cellStyleXfs count="1">
    <x:xf numFmtId="0" fontId="0" fillId="0" borderId="0"/>
  </x:cellStyleXfs>
  <x:cellXfs count="7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2"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4" fillId="0"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vertical="center"/>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200" fontId="4" fillId="0" borderId="4" xfId="0" applyNumberFormat="1" applyFont="1" applyFill="1" applyBorder="1" applyAlignment="1">
      <x:alignment horizontal="right" vertical="top" wrapText="1"/>
    </x:xf>
    <x:xf numFmtId="201" fontId="4" fillId="0" borderId="2"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0" fontId="0" fillId="5" borderId="0" xfId="0" applyNumberFormat="1" applyFont="1" applyFill="1" applyBorder="1"/>
    <x:xf numFmtId="0" fontId="7" fillId="5" borderId="0" xfId="0" applyNumberFormat="1" applyFont="1" applyFill="1" applyBorder="1"/>
    <x:xf numFmtId="0" fontId="7" fillId="5" borderId="4" xfId="0" applyNumberFormat="1" applyFont="1" applyFill="1" applyBorder="1"/>
    <x:xf numFmtId="0" fontId="7" fillId="5" borderId="4" xfId="0" applyNumberFormat="1" applyFont="1" applyFill="1" applyBorder="1" applyAlignment="1">
      <x:alignment vertical="center"/>
    </x:xf>
    <x:xf numFmtId="0" fontId="8" fillId="5" borderId="4" xfId="0" applyNumberFormat="1" applyFont="1" applyFill="1" applyBorder="1" applyAlignment="1">
      <x:alignment vertical="center"/>
    </x:xf>
    <x:xf numFmtId="0" fontId="9" fillId="5" borderId="4" xfId="0" applyNumberFormat="1" applyFont="1" applyFill="1" applyBorder="1" applyAlignment="1">
      <x:alignment vertical="center"/>
    </x:xf>
    <x:xf numFmtId="0" fontId="9" fillId="5" borderId="4" xfId="0" applyNumberFormat="1" applyFont="1" applyFill="1" applyBorder="1" applyAlignment="1">
      <x:alignment horizontal="right" vertical="center"/>
    </x:xf>
    <x:xf numFmtId="202" fontId="9" fillId="5" borderId="4" xfId="0" applyNumberFormat="1" applyFont="1" applyFill="1" applyBorder="1" applyAlignment="1">
      <x:alignment horizontal="right" vertical="center"/>
    </x:xf>
    <x:xf numFmtId="0" fontId="4" fillId="5" borderId="0" xfId="0" applyNumberFormat="1" applyFont="1" applyFill="1" applyBorder="1"/>
    <x:xf numFmtId="0" fontId="4" fillId="5" borderId="4" xfId="0" applyNumberFormat="1" applyFont="1" applyFill="1" applyBorder="1"/>
    <x:xf numFmtId="0" fontId="4" fillId="5" borderId="4" xfId="0" applyNumberFormat="1" applyFont="1" applyFill="1" applyBorder="1" applyAlignment="1">
      <x:alignment vertical="center"/>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10" fillId="2" borderId="0" xfId="0" applyNumberFormat="1" applyFont="1" applyFill="1" applyBorder="1" applyAlignment="1">
      <x:alignment horizontal="left" vertical="center"/>
    </x:xf>
    <x:xf numFmtId="0" fontId="11" fillId="3" borderId="0" xfId="0" applyNumberFormat="1" applyFont="1" applyFill="1" applyBorder="1" applyAlignment="1">
      <x:alignment vertical="center"/>
    </x:xf>
    <x:xf numFmtId="0" fontId="12" fillId="0" borderId="0" xfId="0" applyNumberFormat="1" applyFont="1" applyFill="1" applyBorder="1"/>
    <x:xf numFmtId="0" fontId="13" fillId="2" borderId="1" xfId="0" applyNumberFormat="1" applyFont="1" applyFill="1" applyBorder="1" applyAlignment="1">
      <x:alignment horizontal="center" vertical="center" wrapText="1"/>
    </x:xf>
    <x:xf numFmtId="0" fontId="14" fillId="0" borderId="2" xfId="0" applyNumberFormat="1" applyFont="1" applyFill="1" applyBorder="1" applyAlignment="1">
      <x:alignment horizontal="center" vertical="top" wrapText="1"/>
    </x:xf>
    <x:xf numFmtId="0" fontId="15" fillId="0" borderId="2" xfId="0" applyNumberFormat="1" applyFont="1" applyFill="1" applyBorder="1" applyAlignment="1">
      <x:alignment vertical="top" wrapText="1"/>
    </x:xf>
    <x:xf numFmtId="0" fontId="15" fillId="0" borderId="2" xfId="0" applyNumberFormat="1" applyFont="1" applyFill="1" applyBorder="1" applyAlignment="1">
      <x:alignment horizontal="center" vertical="top" wrapText="1"/>
    </x:xf>
    <x:xf numFmtId="0" fontId="14" fillId="0" borderId="3" xfId="0" applyNumberFormat="1" applyFont="1" applyFill="1" applyBorder="1" applyAlignment="1">
      <x:alignment horizontal="center" vertical="top" wrapText="1"/>
    </x:xf>
    <x:xf numFmtId="0" fontId="15" fillId="0" borderId="3" xfId="0" applyNumberFormat="1" applyFont="1" applyFill="1" applyBorder="1" applyAlignment="1">
      <x:alignment vertical="top" wrapText="1"/>
    </x:xf>
    <x:xf numFmtId="0" fontId="15" fillId="0" borderId="3" xfId="0" applyNumberFormat="1" applyFont="1" applyFill="1" applyBorder="1" applyAlignment="1">
      <x:alignment horizontal="center" vertical="top" wrapText="1"/>
    </x:xf>
    <x:xf numFmtId="0" fontId="16" fillId="4" borderId="0" xfId="0" applyNumberFormat="1" applyFont="1" applyFill="1" applyBorder="1" applyAlignment="1">
      <x:alignment vertical="center"/>
    </x:xf>
    <x:xf numFmtId="0" fontId="15" fillId="0" borderId="4" xfId="0" applyNumberFormat="1" applyFont="1" applyFill="1" applyBorder="1" applyAlignment="1">
      <x:alignment vertical="top" wrapText="1"/>
    </x:xf>
    <x:xf numFmtId="200" fontId="15" fillId="0" borderId="4" xfId="0" applyNumberFormat="1" applyFont="1" applyFill="1" applyBorder="1" applyAlignment="1">
      <x:alignment horizontal="right" vertical="top" wrapText="1"/>
    </x:xf>
    <x:xf numFmtId="201" fontId="15" fillId="0" borderId="2" xfId="0" applyNumberFormat="1" applyFont="1" applyFill="1" applyBorder="1" applyAlignment="1">
      <x:alignment vertical="top" wrapText="1"/>
    </x:xf>
    <x:xf numFmtId="201" fontId="15" fillId="0" borderId="3" xfId="0" applyNumberFormat="1" applyFont="1" applyFill="1" applyBorder="1" applyAlignment="1">
      <x:alignment vertical="top" wrapText="1"/>
    </x:xf>
    <x:xf numFmtId="0" fontId="17" fillId="5" borderId="4" xfId="0" applyNumberFormat="1" applyFont="1" applyFill="1" applyBorder="1" applyAlignment="1">
      <x:alignment vertical="center"/>
    </x:xf>
    <x:xf numFmtId="0" fontId="18" fillId="5" borderId="4" xfId="0" applyNumberFormat="1" applyFont="1" applyFill="1" applyBorder="1" applyAlignment="1">
      <x:alignment horizontal="right" vertical="center"/>
    </x:xf>
    <x:xf numFmtId="0" fontId="15" fillId="5" borderId="4" xfId="0" applyNumberFormat="1" applyFont="1" applyFill="1" applyBorder="1" applyAlignment="1">
      <x:alignment vertical="center"/>
    </x:xf>
    <x:xf numFmtId="202" fontId="18" fillId="5" borderId="4" xfId="0" applyNumberFormat="1" applyFont="1" applyFill="1" applyBorder="1" applyAlignment="1">
      <x:alignment horizontal="right" vertical="center"/>
    </x:xf>
    <x:xf numFmtId="0" fontId="14" fillId="3" borderId="4" xfId="0" applyNumberFormat="1" applyFont="1" applyFill="1" applyBorder="1" applyAlignment="1">
      <x:alignment vertical="top" wrapText="1"/>
    </x:xf>
  </x:cellXfs>
  <x:cellStyles count="1">
    <x:cellStyle name="Normal" xfId="0"/>
  </x:cellStyles>
  <x:dxfs count="13">
    <x:dxf>
      <x:font>
        <x:b/>
        <x:color rgb="FF9C0006"/>
      </x:font>
      <x:fill>
        <x:patternFill patternType="solid">
          <x:bgColor rgb="FFFCE4D6"/>
        </x:patternFill>
      </x:fill>
    </x:dxf>
    <x:dxf>
      <x:font>
        <x:color rgb="FF9C6500"/>
      </x:font>
      <x:fill>
        <x:patternFill patternType="solid">
          <x:bgColor rgb="FFFFF2CC"/>
        </x:patternFill>
      </x:fill>
    </x:dxf>
    <x:dxf>
      <x:font>
        <x:color rgb="FF2E6B2E"/>
      </x:font>
      <x:fill>
        <x:patternFill patternType="solid">
          <x:bgColor rgb="FFE2F0D9"/>
        </x:patternFill>
      </x:fill>
    </x:dxf>
    <x:dxf>
      <x:font>
        <x:b/>
        <x:color rgb="FF2E6B2E"/>
      </x:font>
      <x:fill>
        <x:patternFill patternType="solid">
          <x:bgColor rgb="FFE2F0D9"/>
        </x:patternFill>
      </x:fill>
    </x:dxf>
    <x:dxf>
      <x:font>
        <x:b/>
        <x:color rgb="FF9C0006"/>
      </x:font>
      <x:fill>
        <x:patternFill patternType="solid">
          <x:bgColor rgb="FFFCE4D6"/>
        </x:patternFill>
      </x:fill>
    </x:dxf>
    <x:dxf>
      <x:font>
        <x:b/>
        <x:color rgb="FF9C6500"/>
      </x:font>
      <x:fill>
        <x:patternFill patternType="solid">
          <x:bgColor rgb="FFFFF2CC"/>
        </x:patternFill>
      </x:fill>
    </x:dxf>
    <x:dxf>
      <x:font>
        <x:color rgb="FF595959"/>
      </x:font>
      <x:fill>
        <x:patternFill patternType="solid">
          <x:bgColor rgb="FFE7E6E6"/>
        </x:patternFill>
      </x:fill>
    </x:dxf>
    <x:dxf>
      <x:font>
        <x:b/>
        <x:color rgb="FF9C0006"/>
      </x:font>
      <x:fill>
        <x:patternFill patternType="solid">
          <x:bgColor rgb="FFFCE4D6"/>
        </x:patternFill>
      </x:fill>
    </x:dxf>
    <x:dxf>
      <x:font>
        <x:color rgb="FF9C6500"/>
      </x:font>
      <x:fill>
        <x:patternFill patternType="solid">
          <x:bgColor rgb="FFFFF2CC"/>
        </x:patternFill>
      </x:fill>
    </x:dxf>
    <x:dxf>
      <x:font>
        <x:color rgb="FF2E6B2E"/>
      </x:font>
      <x:fill>
        <x:patternFill patternType="solid">
          <x:bgColor rgb="FFE2F0D9"/>
        </x:patternFill>
      </x:fill>
    </x:dxf>
    <x:dxf>
      <x:font>
        <x:b/>
        <x:color rgb="FF9C0006"/>
      </x:font>
      <x:fill>
        <x:patternFill patternType="solid">
          <x:bgColor rgb="FFFCE4D6"/>
        </x:patternFill>
      </x:fill>
    </x:dxf>
    <x:dxf>
      <x:font>
        <x:color rgb="FF9C6500"/>
      </x:font>
      <x:fill>
        <x:patternFill patternType="solid">
          <x:bgColor rgb="FFFFF2CC"/>
        </x:patternFill>
      </x:fill>
    </x:dxf>
    <x:dxf>
      <x:font>
        <x:color rgb="FF2E6B2E"/>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a6e1f1a8fa4bf6" /><Relationship Type="http://schemas.openxmlformats.org/officeDocument/2006/relationships/theme" Target="/xl/theme/theme1.xml" Id="R717cd3adad4646cb" /><Relationship Type="http://schemas.openxmlformats.org/officeDocument/2006/relationships/sharedStrings" Target="/xl/sharedStrings.xml" Id="R7db0d2a8d12a4452" /><Relationship Type="http://schemas.openxmlformats.org/officeDocument/2006/relationships/worksheet" Target="/xl/worksheets/sheet1.xml" Id="Rab4f7827adad4a17" /><Relationship Type="http://schemas.openxmlformats.org/officeDocument/2006/relationships/worksheet" Target="/xl/worksheets/sheet2.xml" Id="Rdcd34c05fe5441e3" /><Relationship Type="http://schemas.openxmlformats.org/officeDocument/2006/relationships/worksheet" Target="/xl/worksheets/sheet3.xml" Id="R8f3881dc59e741de" /><Relationship Type="http://schemas.openxmlformats.org/officeDocument/2006/relationships/worksheet" Target="/xl/worksheets/sheet4.xml" Id="R582a2b2d96e94461" /></Relationships>
</file>

<file path=xl/drawings/_rels/drawing1.xml.rels>&#65279;<?xml version="1.0" encoding="utf-8"?><Relationships xmlns="http://schemas.openxmlformats.org/package/2006/relationships"><Relationship Type="http://schemas.openxmlformats.org/officeDocument/2006/relationships/chart" Target="/xl/drawings/charts/chart1.xml" Id="R2aabf2a733914cb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Cobertura funcional por módulo (casos)</a:t>
            </a:r>
          </a:p>
        </c:rich>
      </c:tx>
    </c:title>
    <c:plotArea>
      <c:barChart>
        <c:barDir val="col"/>
        <c:varyColors val="0"/>
        <c:ser>
          <c:idx val="0"/>
          <c:order val="0"/>
          <c:tx>
            <c:v>Casos</c:v>
          </c:tx>
          <c:cat>
            <c:strRef>
              <c:f>'Resumen de Ejecución'!$D$5:$D$12</c:f>
              <c:strCache>
                <c:ptCount val="0"/>
              </c:strCache>
            </c:strRef>
          </c:cat>
          <c:val>
            <c:numRef>
              <c:f>'Resumen de Ejecución'!$E$5:$E$12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aabf2a733914cb2"/>
        </a:graphicData>
      </a:graphic>
    </xdr:graphicFrame>
    <xdr:clientData/>
  </xdr:twoCellAnchor>
</xdr:wsDr>
</file>

<file path=xl/tables/table1.xml><?xml version="1.0" encoding="utf-8"?>
<x:table xmlns:x="http://schemas.openxmlformats.org/spreadsheetml/2006/main" id="1" name="CasosPruebaTable" displayName="CasosPruebaTable" ref="A5:L63" headerRowCount="1" totalsRowCount="0" totalsRowShown="0">
  <x:autoFilter ref="A5:L63"/>
  <x:tableColumns count="12">
    <x:tableColumn id="1" name="ID"/>
    <x:tableColumn id="2" name="Módulo"/>
    <x:tableColumn id="3" name="Funcionalidad"/>
    <x:tableColumn id="4" name="Caso de prueba"/>
    <x:tableColumn id="5" name="Tipo de prueba"/>
    <x:tableColumn id="6" name="Precondiciones"/>
    <x:tableColumn id="7" name="Datos de prueba"/>
    <x:tableColumn id="8" name="Pasos"/>
    <x:tableColumn id="9" name="Resultado esperado"/>
    <x:tableColumn id="10" name="Prioridad"/>
    <x:tableColumn id="11" name="Estado"/>
    <x:tableColumn id="12" name="Observaciones"/>
  </x:tableColumns>
  <x:tableStyleInfo name="TableStyleMedium2" showFirstColumn="0" showLastColumn="0" showRowStripes="1" showColumnStripes="0"/>
</x:table>
</file>

<file path=xl/tables/table2.xml><?xml version="1.0" encoding="utf-8"?>
<x:table xmlns:x="http://schemas.openxmlformats.org/spreadsheetml/2006/main" id="2" name="ReporteBugsTable" displayName="ReporteBugsTable" ref="A5:S55" headerRowCount="1" totalsRowCount="0" totalsRowShown="0">
  <x:autoFilter ref="A5:S55"/>
  <x:tableColumns count="19">
    <x:tableColumn id="1" name="Bug ID"/>
    <x:tableColumn id="2" name="Título"/>
    <x:tableColumn id="3" name="Módulo"/>
    <x:tableColumn id="4" name="Fecha"/>
    <x:tableColumn id="5" name="Reportado por"/>
    <x:tableColumn id="6" name="Prioridad"/>
    <x:tableColumn id="7" name="Severidad"/>
    <x:tableColumn id="8" name="Entorno"/>
    <x:tableColumn id="9" name="Sistema Operativo"/>
    <x:tableColumn id="10" name="Navegador"/>
    <x:tableColumn id="11" name="Versión"/>
    <x:tableColumn id="12" name="URL"/>
    <x:tableColumn id="13" name="Precondiciones"/>
    <x:tableColumn id="14" name="Pasos para reproducir"/>
    <x:tableColumn id="15" name="Resultado esperado"/>
    <x:tableColumn id="16" name="Resultado actual"/>
    <x:tableColumn id="17" name="Evidencia o ruta de la evidencia"/>
    <x:tableColumn id="18" name="Estado"/>
    <x:tableColumn id="19" name="Observaciones"/>
  </x:tableColumns>
  <x:tableStyleInfo name="TableStyleMedium2" showFirstColumn="0" showLastColumn="0" showRowStripes="1" showColumnStripes="0"/>
</x:table>
</file>

<file path=xl/tables/table3.xml><?xml version="1.0" encoding="utf-8"?>
<x:table xmlns:x="http://schemas.openxmlformats.org/spreadsheetml/2006/main" id="3" name="MatrizCoberturaTable" displayName="MatrizCoberturaTable" ref="A37:F95" headerRowCount="1" totalsRowCount="0" totalsRowShown="0">
  <x:autoFilter ref="A37:F95"/>
  <x:tableColumns count="6">
    <x:tableColumn id="1" name="Módulo"/>
    <x:tableColumn id="2" name="Funcionalidad"/>
    <x:tableColumn id="3" name="Escenario"/>
    <x:tableColumn id="4" name="Caso de prueba"/>
    <x:tableColumn id="5" name="Prioridad"/>
    <x:tableColumn id="6" name="Tip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d258aaf0bc473f" /></Relationships>
</file>

<file path=xl/worksheets/_rels/sheet3.xml.rels>&#65279;<?xml version="1.0" encoding="utf-8"?><Relationships xmlns="http://schemas.openxmlformats.org/package/2006/relationships"><Relationship Type="http://schemas.openxmlformats.org/officeDocument/2006/relationships/table" Target="/xl/tables/table2.xml" Id="R35eda200554d41a9" /></Relationships>
</file>

<file path=xl/worksheets/_rels/sheet4.xml.rels>&#65279;<?xml version="1.0" encoding="utf-8"?><Relationships xmlns="http://schemas.openxmlformats.org/package/2006/relationships"><Relationship Type="http://schemas.openxmlformats.org/officeDocument/2006/relationships/drawing" Target="/xl/drawings/drawing1.xml" Id="Ra9cf048efdf44b1d" /><Relationship Type="http://schemas.openxmlformats.org/officeDocument/2006/relationships/table" Target="/xl/tables/table3.xml" Id="R6ca69c9a8dd54dd0"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28" hidden="0" customWidth="1"/>
    <x:col min="4" max="4" width="40" hidden="0" customWidth="1"/>
    <x:col min="5" max="5" width="16" hidden="0" customWidth="1"/>
    <x:col min="6" max="6" width="42" hidden="0" customWidth="1"/>
    <x:col min="7" max="7" width="32" hidden="0" customWidth="1"/>
    <x:col min="8" max="8" width="58" hidden="0" customWidth="1"/>
    <x:col min="9" max="9" width="58" hidden="0" customWidth="1"/>
    <x:col min="10" max="10" width="13" hidden="0" customWidth="1"/>
    <x:col min="11" max="11" width="14" hidden="0" customWidth="1"/>
    <x:col min="12" max="12" width="40" hidden="0" customWidth="1"/>
  </x:cols>
  <x:sheetData>
    <x:row r="1" ht="28" customHeight="1">
      <x:c r="A1" s="52" t="str">
        <x:v>PROYECTO QA MANUAL PROFESIONAL – SAUCEDEMO</x:v>
      </x:c>
      <x:c r="B1" s="52"/>
      <x:c r="C1" s="52"/>
      <x:c r="D1" s="52"/>
      <x:c r="E1" s="52"/>
      <x:c r="F1" s="52"/>
      <x:c r="G1" s="52"/>
      <x:c r="H1" s="52"/>
      <x:c r="I1" s="52"/>
      <x:c r="J1" s="52"/>
      <x:c r="K1" s="52"/>
      <x:c r="L1" s="52"/>
    </x:row>
    <x:row r="2" ht="28" customHeight="1">
      <x:c r="A2" s="52"/>
      <x:c r="B2" s="52"/>
      <x:c r="C2" s="52"/>
      <x:c r="D2" s="52"/>
      <x:c r="E2" s="52"/>
      <x:c r="F2" s="52"/>
      <x:c r="G2" s="52"/>
      <x:c r="H2" s="52"/>
      <x:c r="I2" s="52"/>
      <x:c r="J2" s="52"/>
      <x:c r="K2" s="52"/>
      <x:c r="L2" s="52"/>
    </x:row>
    <x:row r="3" ht="24" customHeight="1">
      <x:c r="A3" s="53" t="str">
        <x:v>Fuente funcional verificada: https://www.saucedemo.com/ | Casos diseñados: 58 | Estado inicial: Not Run</x:v>
      </x:c>
      <x:c r="B3" s="53"/>
      <x:c r="C3" s="53"/>
      <x:c r="D3" s="53"/>
      <x:c r="E3" s="53"/>
      <x:c r="F3" s="53"/>
      <x:c r="G3" s="53"/>
      <x:c r="H3" s="53"/>
      <x:c r="I3" s="53"/>
      <x:c r="J3" s="53"/>
      <x:c r="K3" s="53"/>
      <x:c r="L3" s="53"/>
    </x:row>
    <x:row r="4">
      <x:c r="A4" s="54"/>
      <x:c r="B4" s="54"/>
      <x:c r="C4" s="54"/>
      <x:c r="D4" s="54"/>
      <x:c r="E4" s="54"/>
      <x:c r="F4" s="54"/>
      <x:c r="G4" s="54"/>
      <x:c r="H4" s="54"/>
      <x:c r="I4" s="54"/>
      <x:c r="J4" s="54"/>
      <x:c r="K4" s="54"/>
      <x:c r="L4" s="54"/>
    </x:row>
    <x:row r="5" ht="36" customHeight="1">
      <x:c r="A5" s="55" t="str">
        <x:v>ID</x:v>
      </x:c>
      <x:c r="B5" s="55" t="str">
        <x:v>Módulo</x:v>
      </x:c>
      <x:c r="C5" s="55" t="str">
        <x:v>Funcionalidad</x:v>
      </x:c>
      <x:c r="D5" s="55" t="str">
        <x:v>Caso de prueba</x:v>
      </x:c>
      <x:c r="E5" s="55" t="str">
        <x:v>Tipo de prueba</x:v>
      </x:c>
      <x:c r="F5" s="55" t="str">
        <x:v>Precondiciones</x:v>
      </x:c>
      <x:c r="G5" s="55" t="str">
        <x:v>Datos de prueba</x:v>
      </x:c>
      <x:c r="H5" s="55" t="str">
        <x:v>Pasos</x:v>
      </x:c>
      <x:c r="I5" s="55" t="str">
        <x:v>Resultado esperado</x:v>
      </x:c>
      <x:c r="J5" s="55" t="str">
        <x:v>Prioridad</x:v>
      </x:c>
      <x:c r="K5" s="55" t="str">
        <x:v>Estado</x:v>
      </x:c>
      <x:c r="L5" s="55" t="str">
        <x:v>Observaciones</x:v>
      </x:c>
    </x:row>
    <x:row r="6" ht="84" customHeight="1">
      <x:c r="A6" s="56" t="str">
        <x:v>LGN-001</x:v>
      </x:c>
      <x:c r="B6" s="57" t="str">
        <x:v>Login</x:v>
      </x:c>
      <x:c r="C6" s="57" t="str">
        <x:v>Autenticación con usuario estándar</x:v>
      </x:c>
      <x:c r="D6" s="57" t="str">
        <x:v>Iniciar sesión con standard_user</x:v>
      </x:c>
      <x:c r="E6" s="58" t="str">
        <x:v>Positiva</x:v>
      </x:c>
      <x:c r="F6" s="57" t="str">
        <x:v>Equipo con conexión estable a Internet.
Google Chrome instalado y operativo.
URL: https://www.saucedemo.com/
La aplicación carga correctamente.</x:v>
      </x:c>
      <x:c r="G6" s="57" t="str">
        <x:v>Usuario: standard_user
Contraseña: secret_sauce</x:v>
      </x:c>
      <x:c r="H6" s="57" t="str">
        <x:v>1. Abrir https://www.saucedemo.com/.
2. Ingresar standard_user en el campo Username.
3. Ingresar secret_sauce en el campo Password.
4. Seleccionar Login.</x:v>
      </x:c>
      <x:c r="I6" s="57" t="str">
        <x:v>La aplicación dirige a https://www.saucedemo.com/inventory.html y muestra el encabezado Products con seis productos.</x:v>
      </x:c>
      <x:c r="J6" s="58" t="str">
        <x:v>Alta</x:v>
      </x:c>
      <x:c r="K6" s="58" t="str">
        <x:v>Not Run</x:v>
      </x:c>
      <x:c r="L6" s="57" t="str"/>
    </x:row>
    <x:row r="7" ht="84" customHeight="1">
      <x:c r="A7" s="59" t="str">
        <x:v>LGN-002</x:v>
      </x:c>
      <x:c r="B7" s="60" t="str">
        <x:v>Login</x:v>
      </x:c>
      <x:c r="C7" s="60" t="str">
        <x:v>Autenticación con usuario oficial</x:v>
      </x:c>
      <x:c r="D7" s="60" t="str">
        <x:v>Iniciar sesión con problem_user</x:v>
      </x:c>
      <x:c r="E7" s="61" t="str">
        <x:v>Positiva</x:v>
      </x:c>
      <x:c r="F7" s="60" t="str">
        <x:v>Equipo con conexión estable a Internet.
Google Chrome instalado y operativo.
URL: https://www.saucedemo.com/
La aplicación carga correctamente.</x:v>
      </x:c>
      <x:c r="G7" s="60" t="str">
        <x:v>Usuario: problem_user
Contraseña: secret_sauce</x:v>
      </x:c>
      <x:c r="H7" s="60" t="str">
        <x:v>1. Abrir https://www.saucedemo.com/.
2. Ingresar problem_user en el campo Username.
3. Ingresar secret_sauce en el campo Password.
4. Seleccionar Login.</x:v>
      </x:c>
      <x:c r="I7" s="60" t="str">
        <x:v>La aplicación dirige a https://www.saucedemo.com/inventory.html y presenta seis tarjetas de producto.</x:v>
      </x:c>
      <x:c r="J7" s="61" t="str">
        <x:v>Media</x:v>
      </x:c>
      <x:c r="K7" s="61" t="str">
        <x:v>Not Run</x:v>
      </x:c>
      <x:c r="L7" s="60" t="str">
        <x:v>Cobertura de acceso de la cuenta oficial. Las anomalías del perfil deben documentarse en Reporte de Bugs si se reproducen durante la ejecución.</x:v>
      </x:c>
    </x:row>
    <x:row r="8" ht="84" customHeight="1">
      <x:c r="A8" s="59" t="str">
        <x:v>LGN-003</x:v>
      </x:c>
      <x:c r="B8" s="60" t="str">
        <x:v>Login</x:v>
      </x:c>
      <x:c r="C8" s="60" t="str">
        <x:v>Autenticación con usuario oficial</x:v>
      </x:c>
      <x:c r="D8" s="60" t="str">
        <x:v>Iniciar sesión con performance_glitch_user</x:v>
      </x:c>
      <x:c r="E8" s="61" t="str">
        <x:v>Positiva</x:v>
      </x:c>
      <x:c r="F8" s="60" t="str">
        <x:v>Equipo con conexión estable a Internet.
Google Chrome instalado y operativo.
URL: https://www.saucedemo.com/
La aplicación carga correctamente.</x:v>
      </x:c>
      <x:c r="G8" s="60" t="str">
        <x:v>Usuario: performance_glitch_user
Contraseña: secret_sauce</x:v>
      </x:c>
      <x:c r="H8" s="60" t="str">
        <x:v>1. Abrir https://www.saucedemo.com/.
2. Ingresar performance_glitch_user en el campo Username.
3. Ingresar secret_sauce en el campo Password.
4. Seleccionar Login.</x:v>
      </x:c>
      <x:c r="I8" s="60" t="str">
        <x:v>La aplicación dirige a https://www.saucedemo.com/inventory.html y presenta seis tarjetas de producto.</x:v>
      </x:c>
      <x:c r="J8" s="61" t="str">
        <x:v>Media</x:v>
      </x:c>
      <x:c r="K8" s="61" t="str">
        <x:v>Not Run</x:v>
      </x:c>
      <x:c r="L8" s="60" t="str">
        <x:v>No se define umbral de rendimiento porque SauceDemo no publica un SLA en la interfaz; el alcance es funcional.</x:v>
      </x:c>
    </x:row>
    <x:row r="9" ht="84" customHeight="1">
      <x:c r="A9" s="59" t="str">
        <x:v>LGN-004</x:v>
      </x:c>
      <x:c r="B9" s="60" t="str">
        <x:v>Login</x:v>
      </x:c>
      <x:c r="C9" s="60" t="str">
        <x:v>Autenticación con usuario oficial</x:v>
      </x:c>
      <x:c r="D9" s="60" t="str">
        <x:v>Iniciar sesión con error_user</x:v>
      </x:c>
      <x:c r="E9" s="61" t="str">
        <x:v>Positiva</x:v>
      </x:c>
      <x:c r="F9" s="60" t="str">
        <x:v>Equipo con conexión estable a Internet.
Google Chrome instalado y operativo.
URL: https://www.saucedemo.com/
La aplicación carga correctamente.</x:v>
      </x:c>
      <x:c r="G9" s="60" t="str">
        <x:v>Usuario: error_user
Contraseña: secret_sauce</x:v>
      </x:c>
      <x:c r="H9" s="60" t="str">
        <x:v>1. Abrir https://www.saucedemo.com/.
2. Ingresar error_user en el campo Username.
3. Ingresar secret_sauce en el campo Password.
4. Seleccionar Login.</x:v>
      </x:c>
      <x:c r="I9" s="60" t="str">
        <x:v>La aplicación dirige a https://www.saucedemo.com/inventory.html y presenta seis tarjetas de producto.</x:v>
      </x:c>
      <x:c r="J9" s="61" t="str">
        <x:v>Media</x:v>
      </x:c>
      <x:c r="K9" s="61" t="str">
        <x:v>Not Run</x:v>
      </x:c>
      <x:c r="L9" s="60" t="str">
        <x:v>Cobertura de acceso de la cuenta oficial. Las anomalías del perfil deben documentarse en Reporte de Bugs si se reproducen durante la ejecución.</x:v>
      </x:c>
    </x:row>
    <x:row r="10" ht="84" customHeight="1">
      <x:c r="A10" s="59" t="str">
        <x:v>LGN-005</x:v>
      </x:c>
      <x:c r="B10" s="60" t="str">
        <x:v>Login</x:v>
      </x:c>
      <x:c r="C10" s="60" t="str">
        <x:v>Autenticación con usuario oficial</x:v>
      </x:c>
      <x:c r="D10" s="60" t="str">
        <x:v>Iniciar sesión con visual_user</x:v>
      </x:c>
      <x:c r="E10" s="61" t="str">
        <x:v>Positiva</x:v>
      </x:c>
      <x:c r="F10" s="60" t="str">
        <x:v>Equipo con conexión estable a Internet.
Google Chrome instalado y operativo.
URL: https://www.saucedemo.com/
La aplicación carga correctamente.</x:v>
      </x:c>
      <x:c r="G10" s="60" t="str">
        <x:v>Usuario: visual_user
Contraseña: secret_sauce</x:v>
      </x:c>
      <x:c r="H10" s="60" t="str">
        <x:v>1. Abrir https://www.saucedemo.com/.
2. Ingresar visual_user en el campo Username.
3. Ingresar secret_sauce en el campo Password.
4. Seleccionar Login.</x:v>
      </x:c>
      <x:c r="I10" s="60" t="str">
        <x:v>La aplicación dirige a https://www.saucedemo.com/inventory.html y presenta seis tarjetas de producto.</x:v>
      </x:c>
      <x:c r="J10" s="61" t="str">
        <x:v>Media</x:v>
      </x:c>
      <x:c r="K10" s="61" t="str">
        <x:v>Not Run</x:v>
      </x:c>
      <x:c r="L10" s="60" t="str">
        <x:v>Cobertura de acceso de la cuenta oficial. Las anomalías visuales deben documentarse en Reporte de Bugs si se reproducen durante la ejecución.</x:v>
      </x:c>
    </x:row>
    <x:row r="11" ht="84" customHeight="1">
      <x:c r="A11" s="59" t="str">
        <x:v>LGN-006</x:v>
      </x:c>
      <x:c r="B11" s="60" t="str">
        <x:v>Login</x:v>
      </x:c>
      <x:c r="C11" s="60" t="str">
        <x:v>Restricción de usuario bloqueado</x:v>
      </x:c>
      <x:c r="D11" s="60" t="str">
        <x:v>Intentar iniciar sesión con locked_out_user</x:v>
      </x:c>
      <x:c r="E11" s="61" t="str">
        <x:v>Negativa</x:v>
      </x:c>
      <x:c r="F11" s="60" t="str">
        <x:v>Equipo con conexión estable a Internet.
Google Chrome instalado y operativo.
URL: https://www.saucedemo.com/
La aplicación carga correctamente.</x:v>
      </x:c>
      <x:c r="G11" s="60" t="str">
        <x:v>Usuario: locked_out_user
Contraseña: secret_sauce</x:v>
      </x:c>
      <x:c r="H11" s="60" t="str">
        <x:v>1. Abrir https://www.saucedemo.com/.
2. Ingresar locked_out_user en el campo Username.
3. Ingresar secret_sauce en el campo Password.
4. Seleccionar Login.</x:v>
      </x:c>
      <x:c r="I11" s="60" t="str">
        <x:v>La aplicación permanece en la página de Login y muestra literalmente: Epic sadface: Sorry, this user has been locked out.</x:v>
      </x:c>
      <x:c r="J11" s="61" t="str">
        <x:v>Alta</x:v>
      </x:c>
      <x:c r="K11" s="61" t="str">
        <x:v>Not Run</x:v>
      </x:c>
      <x:c r="L11" s="60" t="str"/>
    </x:row>
    <x:row r="12" ht="84" customHeight="1">
      <x:c r="A12" s="59" t="str">
        <x:v>LGN-007</x:v>
      </x:c>
      <x:c r="B12" s="60" t="str">
        <x:v>Login</x:v>
      </x:c>
      <x:c r="C12" s="60" t="str">
        <x:v>Validación de campos obligatorios</x:v>
      </x:c>
      <x:c r="D12" s="60" t="str">
        <x:v>Intentar iniciar sesión sin Username ni Password</x:v>
      </x:c>
      <x:c r="E12" s="61" t="str">
        <x:v>Negativa</x:v>
      </x:c>
      <x:c r="F12" s="60" t="str">
        <x:v>Equipo con conexión estable a Internet.
Google Chrome instalado y operativo.
URL: https://www.saucedemo.com/
La aplicación carga correctamente.</x:v>
      </x:c>
      <x:c r="G12" s="60" t="str">
        <x:v>No aplica</x:v>
      </x:c>
      <x:c r="H12" s="60" t="str">
        <x:v>1. Abrir https://www.saucedemo.com/.
2. Dejar vacíos los campos Username y Password.
3. Seleccionar Login.</x:v>
      </x:c>
      <x:c r="I12" s="60" t="str">
        <x:v>La aplicación muestra literalmente: Epic sadface: Username is required</x:v>
      </x:c>
      <x:c r="J12" s="61" t="str">
        <x:v>Alta</x:v>
      </x:c>
      <x:c r="K12" s="61" t="str">
        <x:v>Not Run</x:v>
      </x:c>
      <x:c r="L12" s="60" t="str"/>
    </x:row>
    <x:row r="13" ht="84" customHeight="1">
      <x:c r="A13" s="59" t="str">
        <x:v>LGN-008</x:v>
      </x:c>
      <x:c r="B13" s="60" t="str">
        <x:v>Login</x:v>
      </x:c>
      <x:c r="C13" s="60" t="str">
        <x:v>Validación de campos obligatorios</x:v>
      </x:c>
      <x:c r="D13" s="60" t="str">
        <x:v>Intentar iniciar sesión sin Password</x:v>
      </x:c>
      <x:c r="E13" s="61" t="str">
        <x:v>Negativa</x:v>
      </x:c>
      <x:c r="F13" s="60" t="str">
        <x:v>Equipo con conexión estable a Internet.
Google Chrome instalado y operativo.
URL: https://www.saucedemo.com/
La aplicación carga correctamente.</x:v>
      </x:c>
      <x:c r="G13" s="60" t="str">
        <x:v>Usuario: standard_user</x:v>
      </x:c>
      <x:c r="H13" s="60" t="str">
        <x:v>1. Abrir https://www.saucedemo.com/.
2. Ingresar standard_user en Username.
3. Dejar vacío el campo Password.
4. Seleccionar Login.</x:v>
      </x:c>
      <x:c r="I13" s="60" t="str">
        <x:v>La aplicación muestra literalmente: Epic sadface: Password is required</x:v>
      </x:c>
      <x:c r="J13" s="61" t="str">
        <x:v>Alta</x:v>
      </x:c>
      <x:c r="K13" s="61" t="str">
        <x:v>Not Run</x:v>
      </x:c>
      <x:c r="L13" s="60" t="str"/>
    </x:row>
    <x:row r="14" ht="84" customHeight="1">
      <x:c r="A14" s="59" t="str">
        <x:v>LGN-009</x:v>
      </x:c>
      <x:c r="B14" s="60" t="str">
        <x:v>Login</x:v>
      </x:c>
      <x:c r="C14" s="60" t="str">
        <x:v>Validación de credenciales</x:v>
      </x:c>
      <x:c r="D14" s="60" t="str">
        <x:v>Intentar iniciar sesión con credenciales inválidas</x:v>
      </x:c>
      <x:c r="E14" s="61" t="str">
        <x:v>Negativa</x:v>
      </x:c>
      <x:c r="F14" s="60" t="str">
        <x:v>Equipo con conexión estable a Internet.
Google Chrome instalado y operativo.
URL: https://www.saucedemo.com/
La aplicación carga correctamente.</x:v>
      </x:c>
      <x:c r="G14" s="60" t="str">
        <x:v>Usuario: invalid_user
Contraseña: invalid_password</x:v>
      </x:c>
      <x:c r="H14" s="60" t="str">
        <x:v>1. Abrir https://www.saucedemo.com/.
2. Ingresar invalid_user en el campo Username.
3. Ingresar invalid_password en el campo Password.
4. Seleccionar Login.</x:v>
      </x:c>
      <x:c r="I14" s="60" t="str">
        <x:v>La aplicación permanece en la página de Login y muestra literalmente: Epic sadface: Username and password do not match any user in this service</x:v>
      </x:c>
      <x:c r="J14" s="61" t="str">
        <x:v>Alta</x:v>
      </x:c>
      <x:c r="K14" s="61" t="str">
        <x:v>Not Run</x:v>
      </x:c>
      <x:c r="L14" s="60" t="str"/>
    </x:row>
    <x:row r="15" ht="84" customHeight="1">
      <x:c r="A15" s="59" t="str">
        <x:v>LGN-010</x:v>
      </x:c>
      <x:c r="B15" s="60" t="str">
        <x:v>Login</x:v>
      </x:c>
      <x:c r="C15" s="60" t="str">
        <x:v>Validación de contraseña</x:v>
      </x:c>
      <x:c r="D15" s="60" t="str">
        <x:v>Intentar iniciar sesión con usuario oficial y contraseña inválida</x:v>
      </x:c>
      <x:c r="E15" s="61" t="str">
        <x:v>Negativa</x:v>
      </x:c>
      <x:c r="F15" s="60" t="str">
        <x:v>Equipo con conexión estable a Internet.
Google Chrome instalado y operativo.
URL: https://www.saucedemo.com/
La aplicación carga correctamente.</x:v>
      </x:c>
      <x:c r="G15" s="60" t="str">
        <x:v>Usuario: standard_user
Contraseña: invalid_password</x:v>
      </x:c>
      <x:c r="H15" s="60" t="str">
        <x:v>1. Abrir https://www.saucedemo.com/.
2. Ingresar standard_user en el campo Username.
3. Ingresar invalid_password en el campo Password.
4. Seleccionar Login.</x:v>
      </x:c>
      <x:c r="I15" s="60" t="str">
        <x:v>La aplicación permanece en la página de Login y muestra literalmente: Epic sadface: Username and password do not match any user in this service</x:v>
      </x:c>
      <x:c r="J15" s="61" t="str">
        <x:v>Alta</x:v>
      </x:c>
      <x:c r="K15" s="61" t="str">
        <x:v>Not Run</x:v>
      </x:c>
      <x:c r="L15" s="60" t="str"/>
    </x:row>
    <x:row r="16" ht="84" customHeight="1">
      <x:c r="A16" s="59" t="str">
        <x:v>LGN-011</x:v>
      </x:c>
      <x:c r="B16" s="60" t="str">
        <x:v>Login</x:v>
      </x:c>
      <x:c r="C16" s="60" t="str">
        <x:v>Gestión de mensajes de error</x:v>
      </x:c>
      <x:c r="D16" s="60" t="str">
        <x:v>Cerrar un mensaje de error de Login</x:v>
      </x:c>
      <x:c r="E16" s="61" t="str">
        <x:v>Validación</x:v>
      </x:c>
      <x:c r="F16" s="60" t="str">
        <x:v>Equipo con conexión estable a Internet.
Google Chrome instalado y operativo.
URL: https://www.saucedemo.com/
La aplicación carga correctamente.</x:v>
      </x:c>
      <x:c r="G16" s="60" t="str">
        <x:v>No aplica</x:v>
      </x:c>
      <x:c r="H16" s="60" t="str">
        <x:v>1. Abrir https://www.saucedemo.com/.
2. Seleccionar Login sin ingresar credenciales.
3. Verificar que se muestre el mensaje Epic sadface: Username is required.
4. Seleccionar el botón de cierre del mensaje.</x:v>
      </x:c>
      <x:c r="I16" s="60" t="str">
        <x:v>El mensaje de error deja de mostrarse y los campos Username y Password permanecen disponibles.</x:v>
      </x:c>
      <x:c r="J16" s="61" t="str">
        <x:v>Baja</x:v>
      </x:c>
      <x:c r="K16" s="61" t="str">
        <x:v>Not Run</x:v>
      </x:c>
      <x:c r="L16" s="60" t="str"/>
    </x:row>
    <x:row r="17" ht="84" customHeight="1">
      <x:c r="A17" s="59" t="str">
        <x:v>PRD-001</x:v>
      </x:c>
      <x:c r="B17" s="60" t="str">
        <x:v>Productos</x:v>
      </x:c>
      <x:c r="C17" s="60" t="str">
        <x:v>Catálogo de productos</x:v>
      </x:c>
      <x:c r="D17" s="60" t="str">
        <x:v>Validar información completa del catálogo</x:v>
      </x:c>
      <x:c r="E17" s="61" t="str">
        <x:v>Validación</x:v>
      </x:c>
      <x:c r="F17" s="60" t="str">
        <x:v>Equipo con conexión estable a Internet.
Google Chrome instalado y operativo.
URL: https://www.saucedemo.com/
La aplicación carga correctamente.</x:v>
      </x:c>
      <x:c r="G17" s="60" t="str">
        <x:v>Usuario: standard_user
Contraseña: secret_sauce</x:v>
      </x:c>
      <x:c r="H17" s="60" t="str">
        <x:v>1. Abrir https://www.saucedemo.com/.
2. Ingresar standard_user en el campo Username.
3. Ingresar secret_sauce en el campo Password.
4. Seleccionar Login.
5. Verificar cantidad, nombre, descripción y precio de cada tarjeta.</x:v>
      </x:c>
      <x:c r="I17" s="60" t="str">
        <x:v>Se muestran exactamente seis productos: Sauce Labs Backpack ($29.99), Sauce Labs Bike Light ($9.99), Sauce Labs Bolt T-Shirt ($15.99), Sauce Labs Fleece Jacket ($49.99), Sauce Labs Onesie ($7.99) y Test.allTheThings() T-Shirt (Red) ($15.99); cada tarjeta incluye imagen, descripción y botón Add to cart.</x:v>
      </x:c>
      <x:c r="J17" s="61" t="str">
        <x:v>Alta</x:v>
      </x:c>
      <x:c r="K17" s="61" t="str">
        <x:v>Not Run</x:v>
      </x:c>
      <x:c r="L17" s="60" t="str"/>
    </x:row>
    <x:row r="18" ht="84" customHeight="1">
      <x:c r="A18" s="59" t="str">
        <x:v>PRD-002</x:v>
      </x:c>
      <x:c r="B18" s="60" t="str">
        <x:v>Productos</x:v>
      </x:c>
      <x:c r="C18" s="60" t="str">
        <x:v>Ordenamiento del catálogo</x:v>
      </x:c>
      <x:c r="D18" s="60" t="str">
        <x:v>Ordenar productos por nombre de A a Z</x:v>
      </x:c>
      <x:c r="E18" s="61" t="str">
        <x:v>Validación</x:v>
      </x:c>
      <x:c r="F18" s="60" t="str">
        <x:v>Equipo con conexión estable a Internet.
Google Chrome instalado y operativo.
URL: https://www.saucedemo.com/
La aplicación carga correctamente.</x:v>
      </x:c>
      <x:c r="G18" s="60" t="str">
        <x:v>Usuario: standard_user
Contraseña: secret_sauce
Orden: Name (A to Z)</x:v>
      </x:c>
      <x:c r="H18" s="60" t="str">
        <x:v>1. Abrir https://www.saucedemo.com/.
2. Ingresar standard_user en el campo Username.
3. Ingresar secret_sauce en el campo Password.
4. Seleccionar Login.
5. Seleccionar Name (A to Z) en el control de ordenamiento.
6. Leer los productos de arriba hacia abajo.</x:v>
      </x:c>
      <x:c r="I18" s="60" t="str">
        <x:v>El orden es: Sauce Labs Backpack, Sauce Labs Bike Light, Sauce Labs Bolt T-Shirt, Sauce Labs Fleece Jacket, Sauce Labs Onesie y Test.allTheThings() T-Shirt (Red).</x:v>
      </x:c>
      <x:c r="J18" s="61" t="str">
        <x:v>Media</x:v>
      </x:c>
      <x:c r="K18" s="61" t="str">
        <x:v>Not Run</x:v>
      </x:c>
      <x:c r="L18" s="60" t="str"/>
    </x:row>
    <x:row r="19" ht="84" customHeight="1">
      <x:c r="A19" s="59" t="str">
        <x:v>PRD-003</x:v>
      </x:c>
      <x:c r="B19" s="60" t="str">
        <x:v>Productos</x:v>
      </x:c>
      <x:c r="C19" s="60" t="str">
        <x:v>Ordenamiento del catálogo</x:v>
      </x:c>
      <x:c r="D19" s="60" t="str">
        <x:v>Ordenar productos por nombre de Z a A</x:v>
      </x:c>
      <x:c r="E19" s="61" t="str">
        <x:v>Validación</x:v>
      </x:c>
      <x:c r="F19" s="60" t="str">
        <x:v>Equipo con conexión estable a Internet.
Google Chrome instalado y operativo.
URL: https://www.saucedemo.com/
La aplicación carga correctamente.</x:v>
      </x:c>
      <x:c r="G19" s="60" t="str">
        <x:v>Usuario: standard_user
Contraseña: secret_sauce
Orden: Name (Z to A)</x:v>
      </x:c>
      <x:c r="H19" s="60" t="str">
        <x:v>1. Abrir https://www.saucedemo.com/.
2. Ingresar standard_user en el campo Username.
3. Ingresar secret_sauce en el campo Password.
4. Seleccionar Login.
5. Seleccionar Name (Z to A) en el control de ordenamiento.
6. Leer los productos de arriba hacia abajo.</x:v>
      </x:c>
      <x:c r="I19" s="60" t="str">
        <x:v>El orden es: Test.allTheThings() T-Shirt (Red), Sauce Labs Onesie, Sauce Labs Fleece Jacket, Sauce Labs Bolt T-Shirt, Sauce Labs Bike Light y Sauce Labs Backpack.</x:v>
      </x:c>
      <x:c r="J19" s="61" t="str">
        <x:v>Media</x:v>
      </x:c>
      <x:c r="K19" s="61" t="str">
        <x:v>Not Run</x:v>
      </x:c>
      <x:c r="L19" s="60" t="str"/>
    </x:row>
    <x:row r="20" ht="84" customHeight="1">
      <x:c r="A20" s="59" t="str">
        <x:v>PRD-004</x:v>
      </x:c>
      <x:c r="B20" s="60" t="str">
        <x:v>Productos</x:v>
      </x:c>
      <x:c r="C20" s="60" t="str">
        <x:v>Ordenamiento del catálogo</x:v>
      </x:c>
      <x:c r="D20" s="60" t="str">
        <x:v>Ordenar productos por precio ascendente</x:v>
      </x:c>
      <x:c r="E20" s="61" t="str">
        <x:v>Validación</x:v>
      </x:c>
      <x:c r="F20" s="60" t="str">
        <x:v>Equipo con conexión estable a Internet.
Google Chrome instalado y operativo.
URL: https://www.saucedemo.com/
La aplicación carga correctamente.</x:v>
      </x:c>
      <x:c r="G20" s="60" t="str">
        <x:v>Usuario: standard_user
Contraseña: secret_sauce
Orden: Price (low to high)</x:v>
      </x:c>
      <x:c r="H20" s="60" t="str">
        <x:v>1. Abrir https://www.saucedemo.com/.
2. Ingresar standard_user en el campo Username.
3. Ingresar secret_sauce en el campo Password.
4. Seleccionar Login.
5. Seleccionar Price (low to high) en el control de ordenamiento.
6. Leer los precios de arriba hacia abajo.</x:v>
      </x:c>
      <x:c r="I20" s="60" t="str">
        <x:v>Los precios se muestran en orden ascendente: $7.99, $9.99, $15.99, $15.99, $29.99 y $49.99.</x:v>
      </x:c>
      <x:c r="J20" s="61" t="str">
        <x:v>Media</x:v>
      </x:c>
      <x:c r="K20" s="61" t="str">
        <x:v>Not Run</x:v>
      </x:c>
      <x:c r="L20" s="60" t="str"/>
    </x:row>
    <x:row r="21" ht="84" customHeight="1">
      <x:c r="A21" s="59" t="str">
        <x:v>PRD-005</x:v>
      </x:c>
      <x:c r="B21" s="60" t="str">
        <x:v>Productos</x:v>
      </x:c>
      <x:c r="C21" s="60" t="str">
        <x:v>Ordenamiento del catálogo</x:v>
      </x:c>
      <x:c r="D21" s="60" t="str">
        <x:v>Ordenar productos por precio descendente</x:v>
      </x:c>
      <x:c r="E21" s="61" t="str">
        <x:v>Validación</x:v>
      </x:c>
      <x:c r="F21" s="60" t="str">
        <x:v>Equipo con conexión estable a Internet.
Google Chrome instalado y operativo.
URL: https://www.saucedemo.com/
La aplicación carga correctamente.</x:v>
      </x:c>
      <x:c r="G21" s="60" t="str">
        <x:v>Usuario: standard_user
Contraseña: secret_sauce
Orden: Price (high to low)</x:v>
      </x:c>
      <x:c r="H21" s="60" t="str">
        <x:v>1. Abrir https://www.saucedemo.com/.
2. Ingresar standard_user en el campo Username.
3. Ingresar secret_sauce en el campo Password.
4. Seleccionar Login.
5. Seleccionar Price (high to low) en el control de ordenamiento.
6. Leer los precios de arriba hacia abajo.</x:v>
      </x:c>
      <x:c r="I21" s="60" t="str">
        <x:v>Los precios se muestran en orden descendente: $49.99, $29.99, $15.99, $15.99, $9.99 y $7.99.</x:v>
      </x:c>
      <x:c r="J21" s="61" t="str">
        <x:v>Media</x:v>
      </x:c>
      <x:c r="K21" s="61" t="str">
        <x:v>Not Run</x:v>
      </x:c>
      <x:c r="L21" s="60" t="str"/>
    </x:row>
    <x:row r="22" ht="84" customHeight="1">
      <x:c r="A22" s="59" t="str">
        <x:v>PRD-006</x:v>
      </x:c>
      <x:c r="B22" s="60" t="str">
        <x:v>Productos</x:v>
      </x:c>
      <x:c r="C22" s="60" t="str">
        <x:v>Detalle de producto</x:v>
      </x:c>
      <x:c r="D22" s="60" t="str">
        <x:v>Abrir el detalle mediante el nombre del producto</x:v>
      </x:c>
      <x:c r="E22" s="61" t="str">
        <x:v>Positiva</x:v>
      </x:c>
      <x:c r="F22" s="60" t="str">
        <x:v>Equipo con conexión estable a Internet.
Google Chrome instalado y operativo.
URL: https://www.saucedemo.com/
La aplicación carga correctamente.</x:v>
      </x:c>
      <x:c r="G22" s="60" t="str">
        <x:v>Usuario: standard_user
Contraseña: secret_sauce
Producto: Sauce Labs Backpack</x:v>
      </x:c>
      <x:c r="H22" s="60" t="str">
        <x:v>1. Abrir https://www.saucedemo.com/.
2. Ingresar standard_user en el campo Username.
3. Ingresar secret_sauce en el campo Password.
4. Seleccionar Login.
5. Seleccionar el nombre Sauce Labs Backpack.</x:v>
      </x:c>
      <x:c r="I22" s="60" t="str">
        <x:v>Se abre el detalle de Sauce Labs Backpack con imagen, nombre, descripción, precio $29.99, botón Add to cart y botón Back to products.</x:v>
      </x:c>
      <x:c r="J22" s="61" t="str">
        <x:v>Alta</x:v>
      </x:c>
      <x:c r="K22" s="61" t="str">
        <x:v>Not Run</x:v>
      </x:c>
      <x:c r="L22" s="60" t="str"/>
    </x:row>
    <x:row r="23" ht="84" customHeight="1">
      <x:c r="A23" s="59" t="str">
        <x:v>PRD-007</x:v>
      </x:c>
      <x:c r="B23" s="60" t="str">
        <x:v>Productos</x:v>
      </x:c>
      <x:c r="C23" s="60" t="str">
        <x:v>Detalle de producto</x:v>
      </x:c>
      <x:c r="D23" s="60" t="str">
        <x:v>Abrir el detalle mediante la imagen del producto</x:v>
      </x:c>
      <x:c r="E23" s="61" t="str">
        <x:v>Positiva</x:v>
      </x:c>
      <x:c r="F23" s="60" t="str">
        <x:v>Equipo con conexión estable a Internet.
Google Chrome instalado y operativo.
URL: https://www.saucedemo.com/
La aplicación carga correctamente.</x:v>
      </x:c>
      <x:c r="G23" s="60" t="str">
        <x:v>Usuario: standard_user
Contraseña: secret_sauce
Producto: Sauce Labs Backpack</x:v>
      </x:c>
      <x:c r="H23" s="60" t="str">
        <x:v>1. Abrir https://www.saucedemo.com/.
2. Ingresar standard_user en el campo Username.
3. Ingresar secret_sauce en el campo Password.
4. Seleccionar Login.
5. Seleccionar la imagen de Sauce Labs Backpack.</x:v>
      </x:c>
      <x:c r="I23" s="60" t="str">
        <x:v>Se abre el detalle de Sauce Labs Backpack con imagen, nombre, descripción, precio $29.99, botón Add to cart y botón Back to products.</x:v>
      </x:c>
      <x:c r="J23" s="61" t="str">
        <x:v>Media</x:v>
      </x:c>
      <x:c r="K23" s="61" t="str">
        <x:v>Not Run</x:v>
      </x:c>
      <x:c r="L23" s="60" t="str"/>
    </x:row>
    <x:row r="24" ht="84" customHeight="1">
      <x:c r="A24" s="59" t="str">
        <x:v>PRD-008</x:v>
      </x:c>
      <x:c r="B24" s="60" t="str">
        <x:v>Productos</x:v>
      </x:c>
      <x:c r="C24" s="60" t="str">
        <x:v>Navegación desde detalle</x:v>
      </x:c>
      <x:c r="D24" s="60" t="str">
        <x:v>Regresar al catálogo desde el detalle</x:v>
      </x:c>
      <x:c r="E24" s="61" t="str">
        <x:v>Positiva</x:v>
      </x:c>
      <x:c r="F24" s="60" t="str">
        <x:v>Equipo con conexión estable a Internet.
Google Chrome instalado y operativo.
URL: https://www.saucedemo.com/
La aplicación carga correctamente.</x:v>
      </x:c>
      <x:c r="G24" s="60" t="str">
        <x:v>Usuario: standard_user
Contraseña: secret_sauce
Producto: Sauce Labs Backpack</x:v>
      </x:c>
      <x:c r="H24" s="60" t="str">
        <x:v>1. Abrir https://www.saucedemo.com/.
2. Ingresar standard_user en el campo Username.
3. Ingresar secret_sauce en el campo Password.
4. Seleccionar Login.
5. Seleccionar Sauce Labs Backpack.
6. Seleccionar Back to products.</x:v>
      </x:c>
      <x:c r="I24" s="60" t="str">
        <x:v>La aplicación regresa a https://www.saucedemo.com/inventory.html y muestra el catálogo Products.</x:v>
      </x:c>
      <x:c r="J24" s="61" t="str">
        <x:v>Media</x:v>
      </x:c>
      <x:c r="K24" s="61" t="str">
        <x:v>Not Run</x:v>
      </x:c>
      <x:c r="L24" s="60" t="str"/>
    </x:row>
    <x:row r="25" ht="84" customHeight="1">
      <x:c r="A25" s="59" t="str">
        <x:v>PRD-009</x:v>
      </x:c>
      <x:c r="B25" s="60" t="str">
        <x:v>Productos</x:v>
      </x:c>
      <x:c r="C25" s="60" t="str">
        <x:v>Gestión de producto desde catálogo</x:v>
      </x:c>
      <x:c r="D25" s="60" t="str">
        <x:v>Agregar un producto desde el catálogo</x:v>
      </x:c>
      <x:c r="E25" s="61" t="str">
        <x:v>Positiva</x:v>
      </x:c>
      <x:c r="F25" s="60" t="str">
        <x:v>Equipo con conexión estable a Internet.
Google Chrome instalado y operativo.
URL: https://www.saucedemo.com/
La aplicación carga correctamente.</x:v>
      </x:c>
      <x:c r="G25" s="60" t="str">
        <x:v>Usuario: standard_user
Contraseña: secret_sauce
Producto: Sauce Labs Backpack</x:v>
      </x:c>
      <x:c r="H25" s="60" t="str">
        <x:v>1. Abrir https://www.saucedemo.com/.
2. Ingresar standard_user en el campo Username.
3. Ingresar secret_sauce en el campo Password.
4. Seleccionar Login.
5. Seleccionar Add to cart en Sauce Labs Backpack.</x:v>
      </x:c>
      <x:c r="I25" s="60" t="str">
        <x:v>El botón del producto cambia a Remove y el contador del carrito muestra 1.</x:v>
      </x:c>
      <x:c r="J25" s="61" t="str">
        <x:v>Alta</x:v>
      </x:c>
      <x:c r="K25" s="61" t="str">
        <x:v>Not Run</x:v>
      </x:c>
      <x:c r="L25" s="60" t="str"/>
    </x:row>
    <x:row r="26" ht="84" customHeight="1">
      <x:c r="A26" s="59" t="str">
        <x:v>PRD-010</x:v>
      </x:c>
      <x:c r="B26" s="60" t="str">
        <x:v>Productos</x:v>
      </x:c>
      <x:c r="C26" s="60" t="str">
        <x:v>Gestión de producto desde catálogo</x:v>
      </x:c>
      <x:c r="D26" s="60" t="str">
        <x:v>Retirar un producto desde el catálogo</x:v>
      </x:c>
      <x:c r="E26" s="61" t="str">
        <x:v>Positiva</x:v>
      </x:c>
      <x:c r="F26" s="60" t="str">
        <x:v>Equipo con conexión estable a Internet.
Google Chrome instalado y operativo.
URL: https://www.saucedemo.com/
La aplicación carga correctamente.</x:v>
      </x:c>
      <x:c r="G26" s="60" t="str">
        <x:v>Usuario: standard_user
Contraseña: secret_sauce
Producto: Sauce Labs Backpack</x:v>
      </x:c>
      <x:c r="H26" s="60" t="str">
        <x:v>1. Abrir https://www.saucedemo.com/.
2. Ingresar standard_user en el campo Username.
3. Ingresar secret_sauce en el campo Password.
4. Seleccionar Login.
5. Seleccionar Add to cart en Sauce Labs Backpack.
6. Seleccionar Remove en Sauce Labs Backpack.</x:v>
      </x:c>
      <x:c r="I26" s="60" t="str">
        <x:v>El botón vuelve a Add to cart y el contador del carrito deja de mostrarse cuando no existen otros productos agregados.</x:v>
      </x:c>
      <x:c r="J26" s="61" t="str">
        <x:v>Alta</x:v>
      </x:c>
      <x:c r="K26" s="61" t="str">
        <x:v>Not Run</x:v>
      </x:c>
      <x:c r="L26" s="60" t="str"/>
    </x:row>
    <x:row r="27" ht="84" customHeight="1">
      <x:c r="A27" s="59" t="str">
        <x:v>PRD-011</x:v>
      </x:c>
      <x:c r="B27" s="60" t="str">
        <x:v>Productos</x:v>
      </x:c>
      <x:c r="C27" s="60" t="str">
        <x:v>Gestión de producto desde detalle</x:v>
      </x:c>
      <x:c r="D27" s="60" t="str">
        <x:v>Agregar un producto desde el detalle</x:v>
      </x:c>
      <x:c r="E27" s="61" t="str">
        <x:v>Positiva</x:v>
      </x:c>
      <x:c r="F27" s="60" t="str">
        <x:v>Equipo con conexión estable a Internet.
Google Chrome instalado y operativo.
URL: https://www.saucedemo.com/
La aplicación carga correctamente.</x:v>
      </x:c>
      <x:c r="G27" s="60" t="str">
        <x:v>Usuario: standard_user
Contraseña: secret_sauce
Producto: Sauce Labs Backpack</x:v>
      </x:c>
      <x:c r="H27" s="60" t="str">
        <x:v>1. Abrir https://www.saucedemo.com/.
2. Ingresar standard_user en el campo Username.
3. Ingresar secret_sauce en el campo Password.
4. Seleccionar Login.
5. Seleccionar Sauce Labs Backpack.
6. Seleccionar Add to cart.</x:v>
      </x:c>
      <x:c r="I27" s="60" t="str">
        <x:v>El botón del detalle cambia a Remove y el contador del carrito muestra 1.</x:v>
      </x:c>
      <x:c r="J27" s="61" t="str">
        <x:v>Alta</x:v>
      </x:c>
      <x:c r="K27" s="61" t="str">
        <x:v>Not Run</x:v>
      </x:c>
      <x:c r="L27" s="60" t="str"/>
    </x:row>
    <x:row r="28" ht="84" customHeight="1">
      <x:c r="A28" s="59" t="str">
        <x:v>PRD-012</x:v>
      </x:c>
      <x:c r="B28" s="60" t="str">
        <x:v>Productos</x:v>
      </x:c>
      <x:c r="C28" s="60" t="str">
        <x:v>Gestión de producto desde detalle</x:v>
      </x:c>
      <x:c r="D28" s="60" t="str">
        <x:v>Retirar un producto desde el detalle</x:v>
      </x:c>
      <x:c r="E28" s="61" t="str">
        <x:v>Positiva</x:v>
      </x:c>
      <x:c r="F28" s="60" t="str">
        <x:v>Equipo con conexión estable a Internet.
Google Chrome instalado y operativo.
URL: https://www.saucedemo.com/
La aplicación carga correctamente.</x:v>
      </x:c>
      <x:c r="G28" s="60" t="str">
        <x:v>Usuario: standard_user
Contraseña: secret_sauce
Producto: Sauce Labs Backpack</x:v>
      </x:c>
      <x:c r="H28" s="60" t="str">
        <x:v>1. Abrir https://www.saucedemo.com/.
2. Ingresar standard_user en el campo Username.
3. Ingresar secret_sauce en el campo Password.
4. Seleccionar Login.
5. Seleccionar Sauce Labs Backpack.
6. Seleccionar Add to cart.
7. Seleccionar Remove.</x:v>
      </x:c>
      <x:c r="I28" s="60" t="str">
        <x:v>El botón del detalle vuelve a Add to cart y el contador del carrito deja de mostrarse.</x:v>
      </x:c>
      <x:c r="J28" s="61" t="str">
        <x:v>Alta</x:v>
      </x:c>
      <x:c r="K28" s="61" t="str">
        <x:v>Not Run</x:v>
      </x:c>
      <x:c r="L28" s="60" t="str"/>
    </x:row>
    <x:row r="29" ht="84" customHeight="1">
      <x:c r="A29" s="59" t="str">
        <x:v>PRD-013</x:v>
      </x:c>
      <x:c r="B29" s="60" t="str">
        <x:v>Productos</x:v>
      </x:c>
      <x:c r="C29" s="60" t="str">
        <x:v>Control de duplicidad en carrito</x:v>
      </x:c>
      <x:c r="D29" s="60" t="str">
        <x:v>Validar que un producto no pueda agregarse dos veces</x:v>
      </x:c>
      <x:c r="E29" s="61" t="str">
        <x:v>Validación</x:v>
      </x:c>
      <x:c r="F29" s="60" t="str">
        <x:v>Equipo con conexión estable a Internet.
Google Chrome instalado y operativo.
URL: https://www.saucedemo.com/
La aplicación carga correctamente.</x:v>
      </x:c>
      <x:c r="G29" s="60" t="str">
        <x:v>Usuario: standard_user
Contraseña: secret_sauce
Producto: Sauce Labs Backpack</x:v>
      </x:c>
      <x:c r="H29" s="60" t="str">
        <x:v>1. Abrir https://www.saucedemo.com/.
2. Ingresar standard_user en el campo Username.
3. Ingresar secret_sauce en el campo Password.
4. Seleccionar Login.
5. Seleccionar Add to cart en Sauce Labs Backpack.
6. Observar el control disponible para el mismo producto.</x:v>
      </x:c>
      <x:c r="I29" s="60" t="str">
        <x:v>El botón Add to cart es reemplazado por Remove; no se ofrece una segunda acción de agregado y el contador permanece en 1.</x:v>
      </x:c>
      <x:c r="J29" s="61" t="str">
        <x:v>Media</x:v>
      </x:c>
      <x:c r="K29" s="61" t="str">
        <x:v>Not Run</x:v>
      </x:c>
      <x:c r="L29" s="60" t="str"/>
    </x:row>
    <x:row r="30" ht="84" customHeight="1">
      <x:c r="A30" s="59" t="str">
        <x:v>PRD-014</x:v>
      </x:c>
      <x:c r="B30" s="60" t="str">
        <x:v>Productos</x:v>
      </x:c>
      <x:c r="C30" s="60" t="str">
        <x:v>Enlaces del pie de página</x:v>
      </x:c>
      <x:c r="D30" s="60" t="str">
        <x:v>Abrir el enlace de Twitter</x:v>
      </x:c>
      <x:c r="E30" s="61" t="str">
        <x:v>Validación</x:v>
      </x:c>
      <x:c r="F30" s="60" t="str">
        <x:v>Equipo con conexión estable a Internet.
Google Chrome instalado y operativo.
URL: https://www.saucedemo.com/
La aplicación carga correctamente.</x:v>
      </x:c>
      <x:c r="G30" s="60" t="str">
        <x:v>Usuario: standard_user
Contraseña: secret_sauce</x:v>
      </x:c>
      <x:c r="H30" s="60" t="str">
        <x:v>1. Abrir https://www.saucedemo.com/.
2. Ingresar standard_user en el campo Username.
3. Ingresar secret_sauce en el campo Password.
4. Seleccionar Login.
5. Desplazarse al pie de página.
6. Seleccionar Twitter.</x:v>
      </x:c>
      <x:c r="I30" s="60" t="str">
        <x:v>El navegador se dirige al recurso https://twitter.com/saucelabs.</x:v>
      </x:c>
      <x:c r="J30" s="61" t="str">
        <x:v>Baja</x:v>
      </x:c>
      <x:c r="K30" s="61" t="str">
        <x:v>Not Run</x:v>
      </x:c>
      <x:c r="L30" s="60" t="str"/>
    </x:row>
    <x:row r="31" ht="84" customHeight="1">
      <x:c r="A31" s="59" t="str">
        <x:v>PRD-015</x:v>
      </x:c>
      <x:c r="B31" s="60" t="str">
        <x:v>Productos</x:v>
      </x:c>
      <x:c r="C31" s="60" t="str">
        <x:v>Enlaces del pie de página</x:v>
      </x:c>
      <x:c r="D31" s="60" t="str">
        <x:v>Abrir el enlace de Facebook</x:v>
      </x:c>
      <x:c r="E31" s="61" t="str">
        <x:v>Validación</x:v>
      </x:c>
      <x:c r="F31" s="60" t="str">
        <x:v>Equipo con conexión estable a Internet.
Google Chrome instalado y operativo.
URL: https://www.saucedemo.com/
La aplicación carga correctamente.</x:v>
      </x:c>
      <x:c r="G31" s="60" t="str">
        <x:v>Usuario: standard_user
Contraseña: secret_sauce</x:v>
      </x:c>
      <x:c r="H31" s="60" t="str">
        <x:v>1. Abrir https://www.saucedemo.com/.
2. Ingresar standard_user en el campo Username.
3. Ingresar secret_sauce en el campo Password.
4. Seleccionar Login.
5. Desplazarse al pie de página.
6. Seleccionar Facebook.</x:v>
      </x:c>
      <x:c r="I31" s="60" t="str">
        <x:v>El navegador se dirige al recurso https://www.facebook.com/saucelabs.</x:v>
      </x:c>
      <x:c r="J31" s="61" t="str">
        <x:v>Baja</x:v>
      </x:c>
      <x:c r="K31" s="61" t="str">
        <x:v>Not Run</x:v>
      </x:c>
      <x:c r="L31" s="60" t="str"/>
    </x:row>
    <x:row r="32" ht="84" customHeight="1">
      <x:c r="A32" s="59" t="str">
        <x:v>PRD-016</x:v>
      </x:c>
      <x:c r="B32" s="60" t="str">
        <x:v>Productos</x:v>
      </x:c>
      <x:c r="C32" s="60" t="str">
        <x:v>Enlaces del pie de página</x:v>
      </x:c>
      <x:c r="D32" s="60" t="str">
        <x:v>Abrir el enlace de LinkedIn</x:v>
      </x:c>
      <x:c r="E32" s="61" t="str">
        <x:v>Validación</x:v>
      </x:c>
      <x:c r="F32" s="60" t="str">
        <x:v>Equipo con conexión estable a Internet.
Google Chrome instalado y operativo.
URL: https://www.saucedemo.com/
La aplicación carga correctamente.</x:v>
      </x:c>
      <x:c r="G32" s="60" t="str">
        <x:v>Usuario: standard_user
Contraseña: secret_sauce</x:v>
      </x:c>
      <x:c r="H32" s="60" t="str">
        <x:v>1. Abrir https://www.saucedemo.com/.
2. Ingresar standard_user en el campo Username.
3. Ingresar secret_sauce en el campo Password.
4. Seleccionar Login.
5. Desplazarse al pie de página.
6. Seleccionar LinkedIn.</x:v>
      </x:c>
      <x:c r="I32" s="60" t="str">
        <x:v>El navegador se dirige al recurso https://www.linkedin.com/company/sauce-labs/.</x:v>
      </x:c>
      <x:c r="J32" s="61" t="str">
        <x:v>Baja</x:v>
      </x:c>
      <x:c r="K32" s="61" t="str">
        <x:v>Not Run</x:v>
      </x:c>
      <x:c r="L32" s="60" t="str"/>
    </x:row>
    <x:row r="33" ht="84" customHeight="1">
      <x:c r="A33" s="59" t="str">
        <x:v>CRT-001</x:v>
      </x:c>
      <x:c r="B33" s="60" t="str">
        <x:v>Carrito</x:v>
      </x:c>
      <x:c r="C33" s="60" t="str">
        <x:v>Visualización de carrito vacío</x:v>
      </x:c>
      <x:c r="D33" s="60" t="str">
        <x:v>Abrir el carrito sin productos</x:v>
      </x:c>
      <x:c r="E33" s="61" t="str">
        <x:v>Validación</x:v>
      </x:c>
      <x:c r="F33" s="60" t="str">
        <x:v>Equipo con conexión estable a Internet.
Google Chrome instalado y operativo.
URL: https://www.saucedemo.com/
La aplicación carga correctamente.</x:v>
      </x:c>
      <x:c r="G33" s="60" t="str">
        <x:v>Usuario: standard_user
Contraseña: secret_sauce</x:v>
      </x:c>
      <x:c r="H33" s="60" t="str">
        <x:v>1. Abrir https://www.saucedemo.com/.
2. Ingresar standard_user en el campo Username.
3. Ingresar secret_sauce en el campo Password.
4. Seleccionar Login.
5. Seleccionar el icono del carrito.</x:v>
      </x:c>
      <x:c r="I33" s="60" t="str">
        <x:v>Se muestra Your Cart, las columnas QTY y Description, ningún producto, y los botones Continue Shopping y Checkout.</x:v>
      </x:c>
      <x:c r="J33" s="61" t="str">
        <x:v>Media</x:v>
      </x:c>
      <x:c r="K33" s="61" t="str">
        <x:v>Not Run</x:v>
      </x:c>
      <x:c r="L33" s="60" t="str"/>
    </x:row>
    <x:row r="34" ht="84" customHeight="1">
      <x:c r="A34" s="59" t="str">
        <x:v>CRT-002</x:v>
      </x:c>
      <x:c r="B34" s="60" t="str">
        <x:v>Carrito</x:v>
      </x:c>
      <x:c r="C34" s="60" t="str">
        <x:v>Contenido del carrito</x:v>
      </x:c>
      <x:c r="D34" s="60" t="str">
        <x:v>Validar dos productos agregados</x:v>
      </x:c>
      <x:c r="E34" s="61" t="str">
        <x:v>Validación</x:v>
      </x:c>
      <x:c r="F34" s="60" t="str">
        <x:v>Equipo con conexión estable a Internet.
Google Chrome instalado y operativo.
URL: https://www.saucedemo.com/
La aplicación carga correctamente.</x:v>
      </x:c>
      <x:c r="G34" s="60" t="str">
        <x:v>Usuario: standard_user
Contraseña: secret_sauce
Producto 1: Sauce Labs Backpack
Producto 2: Sauce Labs Bike Light</x:v>
      </x:c>
      <x:c r="H34" s="60" t="str">
        <x:v>1. Abrir https://www.saucedemo.com/.
2. Ingresar standard_user en el campo Username.
3. Ingresar secret_sauce en el campo Password.
4. Seleccionar Login.
5. Agregar Sauce Labs Backpack.
6. Agregar Sauce Labs Bike Light.
7. Seleccionar el icono del carrito.</x:v>
      </x:c>
      <x:c r="I34" s="60" t="str">
        <x:v>El carrito muestra ambos productos con cantidad 1, nombre, descripción, precios $29.99 y $9.99, y un botón Remove por producto.</x:v>
      </x:c>
      <x:c r="J34" s="61" t="str">
        <x:v>Alta</x:v>
      </x:c>
      <x:c r="K34" s="61" t="str">
        <x:v>Not Run</x:v>
      </x:c>
      <x:c r="L34" s="60" t="str"/>
    </x:row>
    <x:row r="35" ht="84" customHeight="1">
      <x:c r="A35" s="59" t="str">
        <x:v>CRT-003</x:v>
      </x:c>
      <x:c r="B35" s="60" t="str">
        <x:v>Carrito</x:v>
      </x:c>
      <x:c r="C35" s="60" t="str">
        <x:v>Contador del carrito</x:v>
      </x:c>
      <x:c r="D35" s="60" t="str">
        <x:v>Validar contador con múltiples productos</x:v>
      </x:c>
      <x:c r="E35" s="61" t="str">
        <x:v>Validación</x:v>
      </x:c>
      <x:c r="F35" s="60" t="str">
        <x:v>Equipo con conexión estable a Internet.
Google Chrome instalado y operativo.
URL: https://www.saucedemo.com/
La aplicación carga correctamente.</x:v>
      </x:c>
      <x:c r="G35" s="60" t="str">
        <x:v>Usuario: standard_user
Contraseña: secret_sauce
Producto 1: Sauce Labs Backpack
Producto 2: Sauce Labs Bike Light</x:v>
      </x:c>
      <x:c r="H35" s="60" t="str">
        <x:v>1. Abrir https://www.saucedemo.com/.
2. Ingresar standard_user en el campo Username.
3. Ingresar secret_sauce en el campo Password.
4. Seleccionar Login.
5. Agregar Sauce Labs Backpack.
6. Agregar Sauce Labs Bike Light.</x:v>
      </x:c>
      <x:c r="I35" s="60" t="str">
        <x:v>El contador del carrito muestra 2.</x:v>
      </x:c>
      <x:c r="J35" s="61" t="str">
        <x:v>Alta</x:v>
      </x:c>
      <x:c r="K35" s="61" t="str">
        <x:v>Not Run</x:v>
      </x:c>
      <x:c r="L35" s="60" t="str"/>
    </x:row>
    <x:row r="36" ht="84" customHeight="1">
      <x:c r="A36" s="59" t="str">
        <x:v>CRT-004</x:v>
      </x:c>
      <x:c r="B36" s="60" t="str">
        <x:v>Carrito</x:v>
      </x:c>
      <x:c r="C36" s="60" t="str">
        <x:v>Eliminación de productos</x:v>
      </x:c>
      <x:c r="D36" s="60" t="str">
        <x:v>Eliminar un producto conservando otro</x:v>
      </x:c>
      <x:c r="E36" s="61" t="str">
        <x:v>Positiva</x:v>
      </x:c>
      <x:c r="F36" s="60" t="str">
        <x:v>Equipo con conexión estable a Internet.
Google Chrome instalado y operativo.
URL: https://www.saucedemo.com/
La aplicación carga correctamente.</x:v>
      </x:c>
      <x:c r="G36" s="60" t="str">
        <x:v>Usuario: standard_user
Contraseña: secret_sauce
Producto a eliminar: Sauce Labs Backpack
Producto a conservar: Sauce Labs Bike Light</x:v>
      </x:c>
      <x:c r="H36" s="60" t="str">
        <x:v>1. Abrir https://www.saucedemo.com/.
2. Ingresar standard_user en el campo Username.
3. Ingresar secret_sauce en el campo Password.
4. Seleccionar Login.
5. Agregar Sauce Labs Backpack.
6. Agregar Sauce Labs Bike Light.
7. Abrir el carrito.
8. Seleccionar Remove en Sauce Labs Backpack.</x:v>
      </x:c>
      <x:c r="I36" s="60" t="str">
        <x:v>Sauce Labs Backpack desaparece del carrito, Sauce Labs Bike Light permanece con cantidad 1 y el contador cambia a 1.</x:v>
      </x:c>
      <x:c r="J36" s="61" t="str">
        <x:v>Alta</x:v>
      </x:c>
      <x:c r="K36" s="61" t="str">
        <x:v>Not Run</x:v>
      </x:c>
      <x:c r="L36" s="60" t="str"/>
    </x:row>
    <x:row r="37" ht="84" customHeight="1">
      <x:c r="A37" s="59" t="str">
        <x:v>CRT-005</x:v>
      </x:c>
      <x:c r="B37" s="60" t="str">
        <x:v>Carrito</x:v>
      </x:c>
      <x:c r="C37" s="60" t="str">
        <x:v>Navegación a catálogo</x:v>
      </x:c>
      <x:c r="D37" s="60" t="str">
        <x:v>Continuar comprando desde el carrito</x:v>
      </x:c>
      <x:c r="E37" s="61" t="str">
        <x:v>Positiva</x:v>
      </x:c>
      <x:c r="F37" s="60" t="str">
        <x:v>Equipo con conexión estable a Internet.
Google Chrome instalado y operativo.
URL: https://www.saucedemo.com/
La aplicación carga correctamente.</x:v>
      </x:c>
      <x:c r="G37" s="60" t="str">
        <x:v>Usuario: standard_user
Contraseña: secret_sauce</x:v>
      </x:c>
      <x:c r="H37" s="60" t="str">
        <x:v>1. Abrir https://www.saucedemo.com/.
2. Ingresar standard_user en el campo Username.
3. Ingresar secret_sauce en el campo Password.
4. Seleccionar Login.
5. Abrir el carrito.
6. Seleccionar Continue Shopping.</x:v>
      </x:c>
      <x:c r="I37" s="60" t="str">
        <x:v>La aplicación regresa a https://www.saucedemo.com/inventory.html y muestra Products.</x:v>
      </x:c>
      <x:c r="J37" s="61" t="str">
        <x:v>Media</x:v>
      </x:c>
      <x:c r="K37" s="61" t="str">
        <x:v>Not Run</x:v>
      </x:c>
      <x:c r="L37" s="60" t="str"/>
    </x:row>
    <x:row r="38" ht="84" customHeight="1">
      <x:c r="A38" s="59" t="str">
        <x:v>CRT-006</x:v>
      </x:c>
      <x:c r="B38" s="60" t="str">
        <x:v>Carrito</x:v>
      </x:c>
      <x:c r="C38" s="60" t="str">
        <x:v>Inicio de checkout</x:v>
      </x:c>
      <x:c r="D38" s="60" t="str">
        <x:v>Iniciar checkout con productos en el carrito</x:v>
      </x:c>
      <x:c r="E38" s="61" t="str">
        <x:v>Positiva</x:v>
      </x:c>
      <x:c r="F38" s="60" t="str">
        <x:v>Equipo con conexión estable a Internet.
Google Chrome instalado y operativo.
URL: https://www.saucedemo.com/
La aplicación carga correctamente.</x:v>
      </x:c>
      <x:c r="G38" s="60" t="str">
        <x:v>Usuario: standard_user
Contraseña: secret_sauce
Producto: Sauce Labs Backpack</x:v>
      </x:c>
      <x:c r="H38" s="60" t="str">
        <x:v>1. Abrir https://www.saucedemo.com/.
2. Ingresar standard_user en el campo Username.
3. Ingresar secret_sauce en el campo Password.
4. Seleccionar Login.
5. Agregar Sauce Labs Backpack.
6. Abrir el carrito.
7. Seleccionar Checkout.</x:v>
      </x:c>
      <x:c r="I38" s="60" t="str">
        <x:v>La aplicación dirige a https://www.saucedemo.com/checkout-step-one.html y muestra Checkout: Your Information.</x:v>
      </x:c>
      <x:c r="J38" s="61" t="str">
        <x:v>Alta</x:v>
      </x:c>
      <x:c r="K38" s="61" t="str">
        <x:v>Not Run</x:v>
      </x:c>
      <x:c r="L38" s="60" t="str"/>
    </x:row>
    <x:row r="39" ht="84" customHeight="1">
      <x:c r="A39" s="59" t="str">
        <x:v>CRT-007</x:v>
      </x:c>
      <x:c r="B39" s="60" t="str">
        <x:v>Carrito</x:v>
      </x:c>
      <x:c r="C39" s="60" t="str">
        <x:v>Inicio de checkout</x:v>
      </x:c>
      <x:c r="D39" s="60" t="str">
        <x:v>Iniciar checkout con carrito vacío</x:v>
      </x:c>
      <x:c r="E39" s="61" t="str">
        <x:v>Validación</x:v>
      </x:c>
      <x:c r="F39" s="60" t="str">
        <x:v>Equipo con conexión estable a Internet.
Google Chrome instalado y operativo.
URL: https://www.saucedemo.com/
La aplicación carga correctamente.</x:v>
      </x:c>
      <x:c r="G39" s="60" t="str">
        <x:v>Usuario: standard_user
Contraseña: secret_sauce</x:v>
      </x:c>
      <x:c r="H39" s="60" t="str">
        <x:v>1. Abrir https://www.saucedemo.com/.
2. Ingresar standard_user en el campo Username.
3. Ingresar secret_sauce en el campo Password.
4. Seleccionar Login.
5. Abrir el carrito sin agregar productos.
6. Seleccionar Checkout.</x:v>
      </x:c>
      <x:c r="I39" s="60" t="str">
        <x:v>La aplicación dirige a https://www.saucedemo.com/checkout-step-one.html y muestra Checkout: Your Information.</x:v>
      </x:c>
      <x:c r="J39" s="61" t="str">
        <x:v>Media</x:v>
      </x:c>
      <x:c r="K39" s="61" t="str">
        <x:v>Not Run</x:v>
      </x:c>
      <x:c r="L39" s="60" t="str">
        <x:v>Comportamiento observado: la interfaz permite iniciar Checkout con carrito vacío; no se infiere una regla de bloqueo inexistente.</x:v>
      </x:c>
    </x:row>
    <x:row r="40" ht="84" customHeight="1">
      <x:c r="A40" s="59" t="str">
        <x:v>CHK-001</x:v>
      </x:c>
      <x:c r="B40" s="60" t="str">
        <x:v>Checkout</x:v>
      </x:c>
      <x:c r="C40" s="60" t="str">
        <x:v>Validación de datos personales</x:v>
      </x:c>
      <x:c r="D40" s="60" t="str">
        <x:v>Continuar sin ingresar First Name</x:v>
      </x:c>
      <x:c r="E40" s="61" t="str">
        <x:v>Negativa</x:v>
      </x:c>
      <x:c r="F40" s="60" t="str">
        <x:v>Equipo con conexión estable a Internet.
Google Chrome instalado y operativo.
URL: https://www.saucedemo.com/
La aplicación carga correctamente.</x:v>
      </x:c>
      <x:c r="G40" s="60" t="str">
        <x:v>Usuario: standard_user
Contraseña: secret_sauce
Producto: Sauce Labs Backpack</x:v>
      </x:c>
      <x:c r="H40" s="60" t="str">
        <x:v>1. Abrir https://www.saucedemo.com/.
2. Ingresar standard_user en el campo Username.
3. Ingresar secret_sauce en el campo Password.
4. Seleccionar Login.
5. Agregar Sauce Labs Backpack.
6. Abrir el carrito.
7. Seleccionar Checkout.
8. Dejar vacíos First Name, Last Name y Zip/Postal Code.
9. Seleccionar Continue.</x:v>
      </x:c>
      <x:c r="I40" s="60" t="str">
        <x:v>La aplicación muestra literalmente: Error: First Name is required</x:v>
      </x:c>
      <x:c r="J40" s="61" t="str">
        <x:v>Alta</x:v>
      </x:c>
      <x:c r="K40" s="61" t="str">
        <x:v>Not Run</x:v>
      </x:c>
      <x:c r="L40" s="60" t="str"/>
    </x:row>
    <x:row r="41" ht="84" customHeight="1">
      <x:c r="A41" s="59" t="str">
        <x:v>CHK-002</x:v>
      </x:c>
      <x:c r="B41" s="60" t="str">
        <x:v>Checkout</x:v>
      </x:c>
      <x:c r="C41" s="60" t="str">
        <x:v>Validación de datos personales</x:v>
      </x:c>
      <x:c r="D41" s="60" t="str">
        <x:v>Continuar sin ingresar Last Name</x:v>
      </x:c>
      <x:c r="E41" s="61" t="str">
        <x:v>Negativa</x:v>
      </x:c>
      <x:c r="F41" s="60" t="str">
        <x:v>Equipo con conexión estable a Internet.
Google Chrome instalado y operativo.
URL: https://www.saucedemo.com/
La aplicación carga correctamente.</x:v>
      </x:c>
      <x:c r="G41" s="60" t="str">
        <x:v>Usuario: standard_user
Contraseña: secret_sauce
Producto: Sauce Labs Backpack
Nombre: Juan</x:v>
      </x:c>
      <x:c r="H41" s="60" t="str">
        <x:v>1. Abrir https://www.saucedemo.com/.
2. Ingresar standard_user en el campo Username.
3. Ingresar secret_sauce en el campo Password.
4. Seleccionar Login.
5. Agregar Sauce Labs Backpack.
6. Abrir el carrito.
7. Seleccionar Checkout.
8. Ingresar Juan en First Name.
9. Dejar vacíos Last Name y Zip/Postal Code.
10. Seleccionar Continue.</x:v>
      </x:c>
      <x:c r="I41" s="60" t="str">
        <x:v>La aplicación muestra literalmente: Error: Last Name is required</x:v>
      </x:c>
      <x:c r="J41" s="61" t="str">
        <x:v>Alta</x:v>
      </x:c>
      <x:c r="K41" s="61" t="str">
        <x:v>Not Run</x:v>
      </x:c>
      <x:c r="L41" s="60" t="str"/>
    </x:row>
    <x:row r="42" ht="84" customHeight="1">
      <x:c r="A42" s="59" t="str">
        <x:v>CHK-003</x:v>
      </x:c>
      <x:c r="B42" s="60" t="str">
        <x:v>Checkout</x:v>
      </x:c>
      <x:c r="C42" s="60" t="str">
        <x:v>Validación de datos personales</x:v>
      </x:c>
      <x:c r="D42" s="60" t="str">
        <x:v>Continuar sin ingresar Zip/Postal Code</x:v>
      </x:c>
      <x:c r="E42" s="61" t="str">
        <x:v>Negativa</x:v>
      </x:c>
      <x:c r="F42" s="60" t="str">
        <x:v>Equipo con conexión estable a Internet.
Google Chrome instalado y operativo.
URL: https://www.saucedemo.com/
La aplicación carga correctamente.</x:v>
      </x:c>
      <x:c r="G42" s="60" t="str">
        <x:v>Usuario: standard_user
Contraseña: secret_sauce
Producto: Sauce Labs Backpack
Nombre: Juan
Apellido: Pérez</x:v>
      </x:c>
      <x:c r="H42" s="60" t="str">
        <x:v>1. Abrir https://www.saucedemo.com/.
2. Ingresar standard_user en el campo Username.
3. Ingresar secret_sauce en el campo Password.
4. Seleccionar Login.
5. Agregar Sauce Labs Backpack.
6. Abrir el carrito.
7. Seleccionar Checkout.
8. Ingresar Juan en First Name.
9. Ingresar Pérez en Last Name.
10. Dejar vacío Zip/Postal Code.
11. Seleccionar Continue.</x:v>
      </x:c>
      <x:c r="I42" s="60" t="str">
        <x:v>La aplicación muestra literalmente: Error: Postal Code is required</x:v>
      </x:c>
      <x:c r="J42" s="61" t="str">
        <x:v>Alta</x:v>
      </x:c>
      <x:c r="K42" s="61" t="str">
        <x:v>Not Run</x:v>
      </x:c>
      <x:c r="L42" s="60" t="str"/>
    </x:row>
    <x:row r="43" ht="84" customHeight="1">
      <x:c r="A43" s="59" t="str">
        <x:v>CHK-004</x:v>
      </x:c>
      <x:c r="B43" s="60" t="str">
        <x:v>Checkout</x:v>
      </x:c>
      <x:c r="C43" s="60" t="str">
        <x:v>Registro de información del comprador</x:v>
      </x:c>
      <x:c r="D43" s="60" t="str">
        <x:v>Continuar con datos válidos</x:v>
      </x:c>
      <x:c r="E43" s="61" t="str">
        <x:v>Positiva</x:v>
      </x:c>
      <x:c r="F43" s="60" t="str">
        <x:v>Equipo con conexión estable a Internet.
Google Chrome instalado y operativo.
URL: https://www.saucedemo.com/
La aplicación carga correctamente.</x:v>
      </x:c>
      <x:c r="G43" s="60" t="str">
        <x:v>Usuario: standard_user
Contraseña: secret_sauce
Producto: Sauce Labs Backpack
Nombre: Juan
Apellido: Pérez
Código Postal: 050001</x:v>
      </x:c>
      <x:c r="H43" s="60" t="str">
        <x:v>1. Abrir https://www.saucedemo.com/.
2. Ingresar standard_user en el campo Username.
3. Ingresar secret_sauce en el campo Password.
4. Seleccionar Login.
5. Agregar Sauce Labs Backpack.
6. Abrir el carrito.
7. Seleccionar Checkout.
8. Ingresar Juan en First Name.
9. Ingresar Pérez en Last Name.
10. Ingresar 050001 en Zip/Postal Code.
11. Seleccionar Continue.</x:v>
      </x:c>
      <x:c r="I43" s="60" t="str">
        <x:v>La aplicación dirige a https://www.saucedemo.com/checkout-step-two.html y muestra Checkout: Overview.</x:v>
      </x:c>
      <x:c r="J43" s="61" t="str">
        <x:v>Alta</x:v>
      </x:c>
      <x:c r="K43" s="61" t="str">
        <x:v>Not Run</x:v>
      </x:c>
      <x:c r="L43" s="60" t="str"/>
    </x:row>
    <x:row r="44" ht="84" customHeight="1">
      <x:c r="A44" s="59" t="str">
        <x:v>CHK-005</x:v>
      </x:c>
      <x:c r="B44" s="60" t="str">
        <x:v>Checkout</x:v>
      </x:c>
      <x:c r="C44" s="60" t="str">
        <x:v>Cancelación de información</x:v>
      </x:c>
      <x:c r="D44" s="60" t="str">
        <x:v>Cancelar desde Checkout: Your Information</x:v>
      </x:c>
      <x:c r="E44" s="61" t="str">
        <x:v>Positiva</x:v>
      </x:c>
      <x:c r="F44" s="60" t="str">
        <x:v>Equipo con conexión estable a Internet.
Google Chrome instalado y operativo.
URL: https://www.saucedemo.com/
La aplicación carga correctamente.</x:v>
      </x:c>
      <x:c r="G44" s="60" t="str">
        <x:v>Usuario: standard_user
Contraseña: secret_sauce
Producto: Sauce Labs Backpack</x:v>
      </x:c>
      <x:c r="H44" s="60" t="str">
        <x:v>1. Abrir https://www.saucedemo.com/.
2. Ingresar standard_user en el campo Username.
3. Ingresar secret_sauce en el campo Password.
4. Seleccionar Login.
5. Agregar Sauce Labs Backpack.
6. Abrir el carrito.
7. Seleccionar Checkout.
8. Seleccionar Cancel.</x:v>
      </x:c>
      <x:c r="I44" s="60" t="str">
        <x:v>La aplicación regresa a https://www.saucedemo.com/cart.html y conserva Sauce Labs Backpack en el carrito.</x:v>
      </x:c>
      <x:c r="J44" s="61" t="str">
        <x:v>Media</x:v>
      </x:c>
      <x:c r="K44" s="61" t="str">
        <x:v>Not Run</x:v>
      </x:c>
      <x:c r="L44" s="60" t="str"/>
    </x:row>
    <x:row r="45" ht="84" customHeight="1">
      <x:c r="A45" s="59" t="str">
        <x:v>CHK-006</x:v>
      </x:c>
      <x:c r="B45" s="60" t="str">
        <x:v>Checkout</x:v>
      </x:c>
      <x:c r="C45" s="60" t="str">
        <x:v>Persistencia del carrito</x:v>
      </x:c>
      <x:c r="D45" s="60" t="str">
        <x:v>Conservar el contador durante el ingreso de información</x:v>
      </x:c>
      <x:c r="E45" s="61" t="str">
        <x:v>Validación</x:v>
      </x:c>
      <x:c r="F45" s="60" t="str">
        <x:v>Equipo con conexión estable a Internet.
Google Chrome instalado y operativo.
URL: https://www.saucedemo.com/
La aplicación carga correctamente.</x:v>
      </x:c>
      <x:c r="G45" s="60" t="str">
        <x:v>Usuario: standard_user
Contraseña: secret_sauce
Producto 1: Sauce Labs Backpack
Producto 2: Sauce Labs Bike Light</x:v>
      </x:c>
      <x:c r="H45" s="60" t="str">
        <x:v>1. Abrir https://www.saucedemo.com/.
2. Ingresar standard_user en el campo Username.
3. Ingresar secret_sauce en el campo Password.
4. Seleccionar Login.
5. Agregar Sauce Labs Backpack.
6. Agregar Sauce Labs Bike Light.
7. Abrir el carrito.
8. Seleccionar Checkout.</x:v>
      </x:c>
      <x:c r="I45" s="60" t="str">
        <x:v>La pantalla Checkout: Your Information mantiene visible el contador 2 en el carrito.</x:v>
      </x:c>
      <x:c r="J45" s="61" t="str">
        <x:v>Media</x:v>
      </x:c>
      <x:c r="K45" s="61" t="str">
        <x:v>Not Run</x:v>
      </x:c>
      <x:c r="L45" s="60" t="str"/>
    </x:row>
    <x:row r="46" ht="84" customHeight="1">
      <x:c r="A46" s="59" t="str">
        <x:v>CMP-001</x:v>
      </x:c>
      <x:c r="B46" s="60" t="str">
        <x:v>Resumen de compra</x:v>
      </x:c>
      <x:c r="C46" s="60" t="str">
        <x:v>Productos de la orden</x:v>
      </x:c>
      <x:c r="D46" s="60" t="str">
        <x:v>Validar productos en Checkout: Overview</x:v>
      </x:c>
      <x:c r="E46" s="61" t="str">
        <x:v>Validación</x:v>
      </x:c>
      <x:c r="F46" s="60" t="str">
        <x:v>Equipo con conexión estable a Internet.
Google Chrome instalado y operativo.
URL: https://www.saucedemo.com/
La aplicación carga correctamente.</x:v>
      </x:c>
      <x:c r="G46" s="60" t="str">
        <x:v>Usuario: standard_user
Contraseña: secret_sauce
Producto 1: Sauce Labs Backpack
Producto 2: Sauce Labs Bike Light
Nombre: Juan
Apellido: Pérez
Código Postal: 050001</x:v>
      </x:c>
      <x:c r="H46" s="60" t="str">
        <x:v>1. Abrir https://www.saucedemo.com/.
2. Ingresar standard_user en el campo Username.
3. Ingresar secret_sauce en el campo Password.
4. Seleccionar Login.
5. Agregar Sauce Labs Backpack.
6. Agregar Sauce Labs Bike Light.
7. Abrir el carrito.
8. Seleccionar Checkout.
9. Ingresar Juan en First Name.
10. Ingresar Pérez en Last Name.
11. Ingresar 050001 en Zip/Postal Code.
12. Seleccionar Continue.
13. Verificar los renglones de productos.</x:v>
      </x:c>
      <x:c r="I46" s="60" t="str">
        <x:v>Se muestran Sauce Labs Backpack y Sauce Labs Bike Light, cada uno con cantidad 1, descripción y precios $29.99 y $9.99.</x:v>
      </x:c>
      <x:c r="J46" s="61" t="str">
        <x:v>Alta</x:v>
      </x:c>
      <x:c r="K46" s="61" t="str">
        <x:v>Not Run</x:v>
      </x:c>
      <x:c r="L46" s="60" t="str"/>
    </x:row>
    <x:row r="47" ht="84" customHeight="1">
      <x:c r="A47" s="59" t="str">
        <x:v>CMP-002</x:v>
      </x:c>
      <x:c r="B47" s="60" t="str">
        <x:v>Resumen de compra</x:v>
      </x:c>
      <x:c r="C47" s="60" t="str">
        <x:v>Información de pago</x:v>
      </x:c>
      <x:c r="D47" s="60" t="str">
        <x:v>Validar información de pago</x:v>
      </x:c>
      <x:c r="E47" s="61" t="str">
        <x:v>Validación</x:v>
      </x:c>
      <x:c r="F47" s="60" t="str">
        <x:v>Equipo con conexión estable a Internet.
Google Chrome instalado y operativo.
URL: https://www.saucedemo.com/
La aplicación carga correctamente.</x:v>
      </x:c>
      <x:c r="G47" s="60" t="str">
        <x:v>Usuario: standard_user
Contraseña: secret_sauce
Producto 1: Sauce Labs Backpack
Producto 2: Sauce Labs Bike Light
Nombre: Juan
Apellido: Pérez
Código Postal: 050001</x:v>
      </x:c>
      <x:c r="H47" s="60" t="str">
        <x:v>1. Abrir https://www.saucedemo.com/.
2. Ingresar standard_user en el campo Username.
3. Ingresar secret_sauce en el campo Password.
4. Seleccionar Login.
5. Agregar Sauce Labs Backpack.
6. Agregar Sauce Labs Bike Light.
7. Abrir el carrito.
8. Seleccionar Checkout.
9. Ingresar Juan en First Name.
10. Ingresar Pérez en Last Name.
11. Ingresar 050001 en Zip/Postal Code.
12. Seleccionar Continue.
13. Verificar Payment Information.</x:v>
      </x:c>
      <x:c r="I47" s="60" t="str">
        <x:v>Se muestra Payment Information: y el valor SauceCard #31337.</x:v>
      </x:c>
      <x:c r="J47" s="61" t="str">
        <x:v>Media</x:v>
      </x:c>
      <x:c r="K47" s="61" t="str">
        <x:v>Not Run</x:v>
      </x:c>
      <x:c r="L47" s="60" t="str"/>
    </x:row>
    <x:row r="48" ht="84" customHeight="1">
      <x:c r="A48" s="59" t="str">
        <x:v>CMP-003</x:v>
      </x:c>
      <x:c r="B48" s="60" t="str">
        <x:v>Resumen de compra</x:v>
      </x:c>
      <x:c r="C48" s="60" t="str">
        <x:v>Información de envío</x:v>
      </x:c>
      <x:c r="D48" s="60" t="str">
        <x:v>Validar información de envío</x:v>
      </x:c>
      <x:c r="E48" s="61" t="str">
        <x:v>Validación</x:v>
      </x:c>
      <x:c r="F48" s="60" t="str">
        <x:v>Equipo con conexión estable a Internet.
Google Chrome instalado y operativo.
URL: https://www.saucedemo.com/
La aplicación carga correctamente.</x:v>
      </x:c>
      <x:c r="G48" s="60" t="str">
        <x:v>Usuario: standard_user
Contraseña: secret_sauce
Producto 1: Sauce Labs Backpack
Producto 2: Sauce Labs Bike Light
Nombre: Juan
Apellido: Pérez
Código Postal: 050001</x:v>
      </x:c>
      <x:c r="H48" s="60" t="str">
        <x:v>1. Abrir https://www.saucedemo.com/.
2. Ingresar standard_user en el campo Username.
3. Ingresar secret_sauce en el campo Password.
4. Seleccionar Login.
5. Agregar Sauce Labs Backpack.
6. Agregar Sauce Labs Bike Light.
7. Abrir el carrito.
8. Seleccionar Checkout.
9. Ingresar Juan en First Name.
10. Ingresar Pérez en Last Name.
11. Ingresar 050001 en Zip/Postal Code.
12. Seleccionar Continue.
13. Verificar Shipping Information.</x:v>
      </x:c>
      <x:c r="I48" s="60" t="str">
        <x:v>Se muestra Shipping Information: y el valor Free Pony Express Delivery!</x:v>
      </x:c>
      <x:c r="J48" s="61" t="str">
        <x:v>Media</x:v>
      </x:c>
      <x:c r="K48" s="61" t="str">
        <x:v>Not Run</x:v>
      </x:c>
      <x:c r="L48" s="60" t="str"/>
    </x:row>
    <x:row r="49" ht="84" customHeight="1">
      <x:c r="A49" s="59" t="str">
        <x:v>CMP-004</x:v>
      </x:c>
      <x:c r="B49" s="60" t="str">
        <x:v>Resumen de compra</x:v>
      </x:c>
      <x:c r="C49" s="60" t="str">
        <x:v>Cálculo de subtotal</x:v>
      </x:c>
      <x:c r="D49" s="60" t="str">
        <x:v>Validar Item total de la compra</x:v>
      </x:c>
      <x:c r="E49" s="61" t="str">
        <x:v>Validación</x:v>
      </x:c>
      <x:c r="F49" s="60" t="str">
        <x:v>Equipo con conexión estable a Internet.
Google Chrome instalado y operativo.
URL: https://www.saucedemo.com/
La aplicación carga correctamente.</x:v>
      </x:c>
      <x:c r="G49" s="60" t="str">
        <x:v>Usuario: standard_user
Contraseña: secret_sauce
Producto 1: Sauce Labs Backpack
Producto 2: Sauce Labs Bike Light
Nombre: Juan
Apellido: Pérez
Código Postal: 050001</x:v>
      </x:c>
      <x:c r="H49" s="60" t="str">
        <x:v>1. Abrir https://www.saucedemo.com/.
2. Ingresar standard_user en el campo Username.
3. Ingresar secret_sauce en el campo Password.
4. Seleccionar Login.
5. Agregar Sauce Labs Backpack.
6. Agregar Sauce Labs Bike Light.
7. Abrir el carrito.
8. Seleccionar Checkout.
9. Ingresar Juan en First Name.
10. Ingresar Pérez en Last Name.
11. Ingresar 050001 en Zip/Postal Code.
12. Seleccionar Continue.
13. Verificar Item total.</x:v>
      </x:c>
      <x:c r="I49" s="60" t="str">
        <x:v>Se muestra Item total: $39.98, correspondiente a $29.99 + $9.99.</x:v>
      </x:c>
      <x:c r="J49" s="61" t="str">
        <x:v>Alta</x:v>
      </x:c>
      <x:c r="K49" s="61" t="str">
        <x:v>Not Run</x:v>
      </x:c>
      <x:c r="L49" s="60" t="str"/>
    </x:row>
    <x:row r="50" ht="84" customHeight="1">
      <x:c r="A50" s="59" t="str">
        <x:v>CMP-005</x:v>
      </x:c>
      <x:c r="B50" s="60" t="str">
        <x:v>Resumen de compra</x:v>
      </x:c>
      <x:c r="C50" s="60" t="str">
        <x:v>Cálculo de impuestos</x:v>
      </x:c>
      <x:c r="D50" s="60" t="str">
        <x:v>Validar Tax de la compra</x:v>
      </x:c>
      <x:c r="E50" s="61" t="str">
        <x:v>Validación</x:v>
      </x:c>
      <x:c r="F50" s="60" t="str">
        <x:v>Equipo con conexión estable a Internet.
Google Chrome instalado y operativo.
URL: https://www.saucedemo.com/
La aplicación carga correctamente.</x:v>
      </x:c>
      <x:c r="G50" s="60" t="str">
        <x:v>Usuario: standard_user
Contraseña: secret_sauce
Producto 1: Sauce Labs Backpack
Producto 2: Sauce Labs Bike Light
Nombre: Juan
Apellido: Pérez
Código Postal: 050001</x:v>
      </x:c>
      <x:c r="H50" s="60" t="str">
        <x:v>1. Abrir https://www.saucedemo.com/.
2. Ingresar standard_user en el campo Username.
3. Ingresar secret_sauce en el campo Password.
4. Seleccionar Login.
5. Agregar Sauce Labs Backpack.
6. Agregar Sauce Labs Bike Light.
7. Abrir el carrito.
8. Seleccionar Checkout.
9. Ingresar Juan en First Name.
10. Ingresar Pérez en Last Name.
11. Ingresar 050001 en Zip/Postal Code.
12. Seleccionar Continue.
13. Verificar Tax.</x:v>
      </x:c>
      <x:c r="I50" s="60" t="str">
        <x:v>Se muestra Tax: $3.20.</x:v>
      </x:c>
      <x:c r="J50" s="61" t="str">
        <x:v>Alta</x:v>
      </x:c>
      <x:c r="K50" s="61" t="str">
        <x:v>Not Run</x:v>
      </x:c>
      <x:c r="L50" s="60" t="str">
        <x:v>Se valida el valor observado para estos datos; no se generaliza una regla tributaria no publicada.</x:v>
      </x:c>
    </x:row>
    <x:row r="51" ht="84" customHeight="1">
      <x:c r="A51" s="59" t="str">
        <x:v>CMP-006</x:v>
      </x:c>
      <x:c r="B51" s="60" t="str">
        <x:v>Resumen de compra</x:v>
      </x:c>
      <x:c r="C51" s="60" t="str">
        <x:v>Cálculo del total</x:v>
      </x:c>
      <x:c r="D51" s="60" t="str">
        <x:v>Validar Total de la compra</x:v>
      </x:c>
      <x:c r="E51" s="61" t="str">
        <x:v>Validación</x:v>
      </x:c>
      <x:c r="F51" s="60" t="str">
        <x:v>Equipo con conexión estable a Internet.
Google Chrome instalado y operativo.
URL: https://www.saucedemo.com/
La aplicación carga correctamente.</x:v>
      </x:c>
      <x:c r="G51" s="60" t="str">
        <x:v>Usuario: standard_user
Contraseña: secret_sauce
Producto 1: Sauce Labs Backpack
Producto 2: Sauce Labs Bike Light
Nombre: Juan
Apellido: Pérez
Código Postal: 050001</x:v>
      </x:c>
      <x:c r="H51" s="60" t="str">
        <x:v>1. Abrir https://www.saucedemo.com/.
2. Ingresar standard_user en el campo Username.
3. Ingresar secret_sauce en el campo Password.
4. Seleccionar Login.
5. Agregar Sauce Labs Backpack.
6. Agregar Sauce Labs Bike Light.
7. Abrir el carrito.
8. Seleccionar Checkout.
9. Ingresar Juan en First Name.
10. Ingresar Pérez en Last Name.
11. Ingresar 050001 en Zip/Postal Code.
12. Seleccionar Continue.
13. Verificar Total.</x:v>
      </x:c>
      <x:c r="I51" s="60" t="str">
        <x:v>Se muestra Total: $43.18, correspondiente a Item total $39.98 más Tax $3.20.</x:v>
      </x:c>
      <x:c r="J51" s="61" t="str">
        <x:v>Alta</x:v>
      </x:c>
      <x:c r="K51" s="61" t="str">
        <x:v>Not Run</x:v>
      </x:c>
      <x:c r="L51" s="60" t="str"/>
    </x:row>
    <x:row r="52" ht="84" customHeight="1">
      <x:c r="A52" s="59" t="str">
        <x:v>CMP-007</x:v>
      </x:c>
      <x:c r="B52" s="60" t="str">
        <x:v>Resumen de compra</x:v>
      </x:c>
      <x:c r="C52" s="60" t="str">
        <x:v>Cancelación de la compra</x:v>
      </x:c>
      <x:c r="D52" s="60" t="str">
        <x:v>Cancelar desde Checkout: Overview</x:v>
      </x:c>
      <x:c r="E52" s="61" t="str">
        <x:v>Positiva</x:v>
      </x:c>
      <x:c r="F52" s="60" t="str">
        <x:v>Equipo con conexión estable a Internet.
Google Chrome instalado y operativo.
URL: https://www.saucedemo.com/
La aplicación carga correctamente.</x:v>
      </x:c>
      <x:c r="G52" s="60" t="str">
        <x:v>Usuario: standard_user
Contraseña: secret_sauce
Producto 1: Sauce Labs Backpack
Producto 2: Sauce Labs Bike Light
Nombre: Juan
Apellido: Pérez
Código Postal: 050001</x:v>
      </x:c>
      <x:c r="H52" s="60" t="str">
        <x:v>1. Abrir https://www.saucedemo.com/.
2. Ingresar standard_user en el campo Username.
3. Ingresar secret_sauce en el campo Password.
4. Seleccionar Login.
5. Agregar Sauce Labs Backpack.
6. Agregar Sauce Labs Bike Light.
7. Abrir el carrito.
8. Seleccionar Checkout.
9. Ingresar Juan en First Name.
10. Ingresar Pérez en Last Name.
11. Ingresar 050001 en Zip/Postal Code.
12. Seleccionar Continue.
13. Seleccionar Cancel.</x:v>
      </x:c>
      <x:c r="I52" s="60" t="str">
        <x:v>La aplicación dirige a https://www.saucedemo.com/inventory.html.</x:v>
      </x:c>
      <x:c r="J52" s="61" t="str">
        <x:v>Media</x:v>
      </x:c>
      <x:c r="K52" s="61" t="str">
        <x:v>Not Run</x:v>
      </x:c>
      <x:c r="L52" s="60" t="str"/>
    </x:row>
    <x:row r="53" ht="84" customHeight="1">
      <x:c r="A53" s="59" t="str">
        <x:v>CMP-008</x:v>
      </x:c>
      <x:c r="B53" s="60" t="str">
        <x:v>Resumen de compra</x:v>
      </x:c>
      <x:c r="C53" s="60" t="str">
        <x:v>Confirmación de la compra</x:v>
      </x:c>
      <x:c r="D53" s="60" t="str">
        <x:v>Finalizar desde Checkout: Overview</x:v>
      </x:c>
      <x:c r="E53" s="61" t="str">
        <x:v>Positiva</x:v>
      </x:c>
      <x:c r="F53" s="60" t="str">
        <x:v>Equipo con conexión estable a Internet.
Google Chrome instalado y operativo.
URL: https://www.saucedemo.com/
La aplicación carga correctamente.</x:v>
      </x:c>
      <x:c r="G53" s="60" t="str">
        <x:v>Usuario: standard_user
Contraseña: secret_sauce
Producto 1: Sauce Labs Backpack
Producto 2: Sauce Labs Bike Light
Nombre: Juan
Apellido: Pérez
Código Postal: 050001</x:v>
      </x:c>
      <x:c r="H53" s="60" t="str">
        <x:v>1. Abrir https://www.saucedemo.com/.
2. Ingresar standard_user en el campo Username.
3. Ingresar secret_sauce en el campo Password.
4. Seleccionar Login.
5. Agregar Sauce Labs Backpack.
6. Agregar Sauce Labs Bike Light.
7. Abrir el carrito.
8. Seleccionar Checkout.
9. Ingresar Juan en First Name.
10. Ingresar Pérez en Last Name.
11. Ingresar 050001 en Zip/Postal Code.
12. Seleccionar Continue.
13. Seleccionar Finish.</x:v>
      </x:c>
      <x:c r="I53" s="60" t="str">
        <x:v>La aplicación dirige a https://www.saucedemo.com/checkout-complete.html y muestra Checkout: Complete!.</x:v>
      </x:c>
      <x:c r="J53" s="61" t="str">
        <x:v>Alta</x:v>
      </x:c>
      <x:c r="K53" s="61" t="str">
        <x:v>Not Run</x:v>
      </x:c>
      <x:c r="L53" s="60" t="str"/>
    </x:row>
    <x:row r="54" ht="84" customHeight="1">
      <x:c r="A54" s="59" t="str">
        <x:v>FIN-001</x:v>
      </x:c>
      <x:c r="B54" s="60" t="str">
        <x:v>Finalización de compra</x:v>
      </x:c>
      <x:c r="C54" s="60" t="str">
        <x:v>Confirmación de orden</x:v>
      </x:c>
      <x:c r="D54" s="60" t="str">
        <x:v>Validar mensaje de compra completada</x:v>
      </x:c>
      <x:c r="E54" s="61" t="str">
        <x:v>Validación</x:v>
      </x:c>
      <x:c r="F54" s="60" t="str">
        <x:v>Equipo con conexión estable a Internet.
Google Chrome instalado y operativo.
URL: https://www.saucedemo.com/
La aplicación carga correctamente.</x:v>
      </x:c>
      <x:c r="G54" s="60" t="str">
        <x:v>Usuario: standard_user
Contraseña: secret_sauce
Producto 1: Sauce Labs Backpack
Producto 2: Sauce Labs Bike Light
Nombre: Juan
Apellido: Pérez
Código Postal: 050001</x:v>
      </x:c>
      <x:c r="H54" s="60" t="str">
        <x:v>1. Abrir https://www.saucedemo.com/.
2. Ingresar standard_user en el campo Username.
3. Ingresar secret_sauce en el campo Password.
4. Seleccionar Login.
5. Agregar Sauce Labs Backpack.
6. Agregar Sauce Labs Bike Light.
7. Abrir el carrito.
8. Seleccionar Checkout.
9. Ingresar Juan en First Name.
10. Ingresar Pérez en Last Name.
11. Ingresar 050001 en Zip/Postal Code.
12. Seleccionar Continue.
13. Seleccionar Finish.
14. Verificar el contenido de Checkout: Complete!.</x:v>
      </x:c>
      <x:c r="I54" s="60" t="str">
        <x:v>Se muestran literalmente: Thank you for your order! y Your order has been dispatched, and will arrive just as fast as the pony can get there!, junto con la imagen Pony Express.</x:v>
      </x:c>
      <x:c r="J54" s="61" t="str">
        <x:v>Alta</x:v>
      </x:c>
      <x:c r="K54" s="61" t="str">
        <x:v>Not Run</x:v>
      </x:c>
      <x:c r="L54" s="60" t="str"/>
    </x:row>
    <x:row r="55" ht="84" customHeight="1">
      <x:c r="A55" s="59" t="str">
        <x:v>FIN-002</x:v>
      </x:c>
      <x:c r="B55" s="60" t="str">
        <x:v>Finalización de compra</x:v>
      </x:c>
      <x:c r="C55" s="60" t="str">
        <x:v>Retorno al catálogo</x:v>
      </x:c>
      <x:c r="D55" s="60" t="str">
        <x:v>Volver a Products mediante Back Home</x:v>
      </x:c>
      <x:c r="E55" s="61" t="str">
        <x:v>Positiva</x:v>
      </x:c>
      <x:c r="F55" s="60" t="str">
        <x:v>Equipo con conexión estable a Internet.
Google Chrome instalado y operativo.
URL: https://www.saucedemo.com/
La aplicación carga correctamente.</x:v>
      </x:c>
      <x:c r="G55" s="60" t="str">
        <x:v>Usuario: standard_user
Contraseña: secret_sauce
Producto 1: Sauce Labs Backpack
Producto 2: Sauce Labs Bike Light
Nombre: Juan
Apellido: Pérez
Código Postal: 050001</x:v>
      </x:c>
      <x:c r="H55" s="60" t="str">
        <x:v>1. Abrir https://www.saucedemo.com/.
2. Ingresar standard_user en el campo Username.
3. Ingresar secret_sauce en el campo Password.
4. Seleccionar Login.
5. Agregar Sauce Labs Backpack.
6. Agregar Sauce Labs Bike Light.
7. Abrir el carrito.
8. Seleccionar Checkout.
9. Ingresar Juan en First Name.
10. Ingresar Pérez en Last Name.
11. Ingresar 050001 en Zip/Postal Code.
12. Seleccionar Continue.
13. Seleccionar Finish.
14. Seleccionar Back Home.</x:v>
      </x:c>
      <x:c r="I55" s="60" t="str">
        <x:v>La aplicación dirige a https://www.saucedemo.com/inventory.html y muestra Products.</x:v>
      </x:c>
      <x:c r="J55" s="61" t="str">
        <x:v>Media</x:v>
      </x:c>
      <x:c r="K55" s="61" t="str">
        <x:v>Not Run</x:v>
      </x:c>
      <x:c r="L55" s="60" t="str"/>
    </x:row>
    <x:row r="56" ht="84" customHeight="1">
      <x:c r="A56" s="59" t="str">
        <x:v>FIN-003</x:v>
      </x:c>
      <x:c r="B56" s="60" t="str">
        <x:v>Finalización de compra</x:v>
      </x:c>
      <x:c r="C56" s="60" t="str">
        <x:v>Comprobante de orden</x:v>
      </x:c>
      <x:c r="D56" s="60" t="str">
        <x:v>Generar comprobante PDF de la orden</x:v>
      </x:c>
      <x:c r="E56" s="61" t="str">
        <x:v>Validación</x:v>
      </x:c>
      <x:c r="F56" s="60" t="str">
        <x:v>Equipo con conexión estable a Internet.
Google Chrome instalado y operativo.
URL: https://www.saucedemo.com/
La aplicación carga correctamente.</x:v>
      </x:c>
      <x:c r="G56" s="60" t="str">
        <x:v>Usuario: standard_user
Contraseña: secret_sauce
Producto 1: Sauce Labs Backpack
Producto 2: Sauce Labs Bike Light
Nombre: Juan
Apellido: Pérez
Código Postal: 050001</x:v>
      </x:c>
      <x:c r="H56" s="60" t="str">
        <x:v>1. Abrir https://www.saucedemo.com/.
2. Ingresar standard_user en el campo Username.
3. Ingresar secret_sauce en el campo Password.
4. Seleccionar Login.
5. Agregar Sauce Labs Backpack.
6. Agregar Sauce Labs Bike Light.
7. Abrir el carrito.
8. Seleccionar Checkout.
9. Ingresar Juan en First Name.
10. Ingresar Pérez en Last Name.
11. Ingresar 050001 en Zip/Postal Code.
12. Seleccionar Continue.
13. Seleccionar Finish.
14. Seleccionar Generate PDF order.
15. Verificar el resultado presentado por el navegador.</x:v>
      </x:c>
      <x:c r="I56" s="60" t="str">
        <x:v>La aplicación inicia la generación del comprobante de la orden en formato PDF sin abandonar Checkout: Complete!.</x:v>
      </x:c>
      <x:c r="J56" s="61" t="str">
        <x:v>Media</x:v>
      </x:c>
      <x:c r="K56" s="61" t="str">
        <x:v>Not Run</x:v>
      </x:c>
      <x:c r="L56" s="60" t="str">
        <x:v>Suposición explícita basada en la etiqueta Generate PDF order. El control estuvo disponible, pero el evento de descarga no fue observable mediante el entorno de análisis; confirmar manualmente nombre, contenido y descarga del archivo.</x:v>
      </x:c>
    </x:row>
    <x:row r="57" ht="84" customHeight="1">
      <x:c r="A57" s="59" t="str">
        <x:v>MNU-001</x:v>
      </x:c>
      <x:c r="B57" s="60" t="str">
        <x:v>Menú lateral</x:v>
      </x:c>
      <x:c r="C57" s="60" t="str">
        <x:v>Apertura del menú</x:v>
      </x:c>
      <x:c r="D57" s="60" t="str">
        <x:v>Mostrar opciones del menú lateral</x:v>
      </x:c>
      <x:c r="E57" s="61" t="str">
        <x:v>Validación</x:v>
      </x:c>
      <x:c r="F57" s="60" t="str">
        <x:v>Equipo con conexión estable a Internet.
Google Chrome instalado y operativo.
URL: https://www.saucedemo.com/
La aplicación carga correctamente.</x:v>
      </x:c>
      <x:c r="G57" s="60" t="str">
        <x:v>Usuario: standard_user
Contraseña: secret_sauce</x:v>
      </x:c>
      <x:c r="H57" s="60" t="str">
        <x:v>1. Abrir https://www.saucedemo.com/.
2. Ingresar standard_user en el campo Username.
3. Ingresar secret_sauce en el campo Password.
4. Seleccionar Login.
5. Seleccionar Open Menu.</x:v>
      </x:c>
      <x:c r="I57" s="60" t="str">
        <x:v>El menú muestra All Items, About, Logout y Reset App State, además del botón Close Menu.</x:v>
      </x:c>
      <x:c r="J57" s="61" t="str">
        <x:v>Media</x:v>
      </x:c>
      <x:c r="K57" s="61" t="str">
        <x:v>Not Run</x:v>
      </x:c>
      <x:c r="L57" s="60" t="str"/>
    </x:row>
    <x:row r="58" ht="84" customHeight="1">
      <x:c r="A58" s="59" t="str">
        <x:v>MNU-002</x:v>
      </x:c>
      <x:c r="B58" s="60" t="str">
        <x:v>Menú lateral</x:v>
      </x:c>
      <x:c r="C58" s="60" t="str">
        <x:v>Cierre del menú</x:v>
      </x:c>
      <x:c r="D58" s="60" t="str">
        <x:v>Cerrar el menú lateral</x:v>
      </x:c>
      <x:c r="E58" s="61" t="str">
        <x:v>Validación</x:v>
      </x:c>
      <x:c r="F58" s="60" t="str">
        <x:v>Equipo con conexión estable a Internet.
Google Chrome instalado y operativo.
URL: https://www.saucedemo.com/
La aplicación carga correctamente.</x:v>
      </x:c>
      <x:c r="G58" s="60" t="str">
        <x:v>Usuario: standard_user
Contraseña: secret_sauce</x:v>
      </x:c>
      <x:c r="H58" s="60" t="str">
        <x:v>1. Abrir https://www.saucedemo.com/.
2. Ingresar standard_user en el campo Username.
3. Ingresar secret_sauce en el campo Password.
4. Seleccionar Login.
5. Seleccionar Open Menu.
6. Seleccionar Close Menu.</x:v>
      </x:c>
      <x:c r="I58" s="60" t="str">
        <x:v>El panel lateral se cierra y el catálogo Products permanece disponible.</x:v>
      </x:c>
      <x:c r="J58" s="61" t="str">
        <x:v>Baja</x:v>
      </x:c>
      <x:c r="K58" s="61" t="str">
        <x:v>Not Run</x:v>
      </x:c>
      <x:c r="L58" s="60" t="str"/>
    </x:row>
    <x:row r="59" ht="84" customHeight="1">
      <x:c r="A59" s="59" t="str">
        <x:v>MNU-003</x:v>
      </x:c>
      <x:c r="B59" s="60" t="str">
        <x:v>Menú lateral</x:v>
      </x:c>
      <x:c r="C59" s="60" t="str">
        <x:v>Navegación a productos</x:v>
      </x:c>
      <x:c r="D59" s="60" t="str">
        <x:v>Abrir All Items desde otra pantalla</x:v>
      </x:c>
      <x:c r="E59" s="61" t="str">
        <x:v>Positiva</x:v>
      </x:c>
      <x:c r="F59" s="60" t="str">
        <x:v>Equipo con conexión estable a Internet.
Google Chrome instalado y operativo.
URL: https://www.saucedemo.com/
La aplicación carga correctamente.</x:v>
      </x:c>
      <x:c r="G59" s="60" t="str">
        <x:v>Usuario: standard_user
Contraseña: secret_sauce
Producto: Sauce Labs Backpack</x:v>
      </x:c>
      <x:c r="H59" s="60" t="str">
        <x:v>1. Abrir https://www.saucedemo.com/.
2. Ingresar standard_user en el campo Username.
3. Ingresar secret_sauce en el campo Password.
4. Seleccionar Login.
5. Seleccionar Sauce Labs Backpack.
6. Seleccionar Open Menu.
7. Seleccionar All Items.</x:v>
      </x:c>
      <x:c r="I59" s="60" t="str">
        <x:v>La aplicación dirige a https://www.saucedemo.com/inventory.html y muestra Products.</x:v>
      </x:c>
      <x:c r="J59" s="61" t="str">
        <x:v>Media</x:v>
      </x:c>
      <x:c r="K59" s="61" t="str">
        <x:v>Not Run</x:v>
      </x:c>
      <x:c r="L59" s="60" t="str"/>
    </x:row>
    <x:row r="60" ht="84" customHeight="1">
      <x:c r="A60" s="59" t="str">
        <x:v>MNU-004</x:v>
      </x:c>
      <x:c r="B60" s="60" t="str">
        <x:v>Menú lateral</x:v>
      </x:c>
      <x:c r="C60" s="60" t="str">
        <x:v>Navegación externa</x:v>
      </x:c>
      <x:c r="D60" s="60" t="str">
        <x:v>Abrir About</x:v>
      </x:c>
      <x:c r="E60" s="61" t="str">
        <x:v>Validación</x:v>
      </x:c>
      <x:c r="F60" s="60" t="str">
        <x:v>Equipo con conexión estable a Internet.
Google Chrome instalado y operativo.
URL: https://www.saucedemo.com/
La aplicación carga correctamente.</x:v>
      </x:c>
      <x:c r="G60" s="60" t="str">
        <x:v>Usuario: standard_user
Contraseña: secret_sauce</x:v>
      </x:c>
      <x:c r="H60" s="60" t="str">
        <x:v>1. Abrir https://www.saucedemo.com/.
2. Ingresar standard_user en el campo Username.
3. Ingresar secret_sauce en el campo Password.
4. Seleccionar Login.
5. Seleccionar Open Menu.
6. Seleccionar About.</x:v>
      </x:c>
      <x:c r="I60" s="60" t="str">
        <x:v>El navegador se dirige al sitio de Sauce Labs mediante https://saucelabs.com/.</x:v>
      </x:c>
      <x:c r="J60" s="61" t="str">
        <x:v>Baja</x:v>
      </x:c>
      <x:c r="K60" s="61" t="str">
        <x:v>Not Run</x:v>
      </x:c>
      <x:c r="L60" s="60" t="str"/>
    </x:row>
    <x:row r="61" ht="84" customHeight="1">
      <x:c r="A61" s="59" t="str">
        <x:v>MNU-005</x:v>
      </x:c>
      <x:c r="B61" s="60" t="str">
        <x:v>Menú lateral</x:v>
      </x:c>
      <x:c r="C61" s="60" t="str">
        <x:v>Restablecimiento de estado</x:v>
      </x:c>
      <x:c r="D61" s="60" t="str">
        <x:v>Restablecer el estado del carrito</x:v>
      </x:c>
      <x:c r="E61" s="61" t="str">
        <x:v>Positiva</x:v>
      </x:c>
      <x:c r="F61" s="60" t="str">
        <x:v>Equipo con conexión estable a Internet.
Google Chrome instalado y operativo.
URL: https://www.saucedemo.com/
La aplicación carga correctamente.</x:v>
      </x:c>
      <x:c r="G61" s="60" t="str">
        <x:v>Usuario: standard_user
Contraseña: secret_sauce
Producto: Sauce Labs Onesie</x:v>
      </x:c>
      <x:c r="H61" s="60" t="str">
        <x:v>1. Abrir https://www.saucedemo.com/.
2. Ingresar standard_user en el campo Username.
3. Ingresar secret_sauce en el campo Password.
4. Seleccionar Login.
5. Agregar Sauce Labs Onesie.
6. Seleccionar Open Menu.
7. Seleccionar Reset App State.
8. Actualizar la página.</x:v>
      </x:c>
      <x:c r="I61" s="60" t="str">
        <x:v>El contador del carrito no se muestra y Sauce Labs Onesie vuelve a presentar el botón Add to cart.</x:v>
      </x:c>
      <x:c r="J61" s="61" t="str">
        <x:v>Alta</x:v>
      </x:c>
      <x:c r="K61" s="61" t="str">
        <x:v>Not Run</x:v>
      </x:c>
      <x:c r="L61" s="60" t="str">
        <x:v>La actualización se incluye porque el cambio de botón se reflejó después de recargar la vista durante el análisis.</x:v>
      </x:c>
    </x:row>
    <x:row r="62" ht="84" customHeight="1">
      <x:c r="A62" s="59" t="str">
        <x:v>LGT-001</x:v>
      </x:c>
      <x:c r="B62" s="60" t="str">
        <x:v>Logout</x:v>
      </x:c>
      <x:c r="C62" s="60" t="str">
        <x:v>Cierre de sesión</x:v>
      </x:c>
      <x:c r="D62" s="60" t="str">
        <x:v>Cerrar sesión desde el menú lateral</x:v>
      </x:c>
      <x:c r="E62" s="61" t="str">
        <x:v>Positiva</x:v>
      </x:c>
      <x:c r="F62" s="60" t="str">
        <x:v>Equipo con conexión estable a Internet.
Google Chrome instalado y operativo.
URL: https://www.saucedemo.com/
La aplicación carga correctamente.</x:v>
      </x:c>
      <x:c r="G62" s="60" t="str">
        <x:v>Usuario: standard_user
Contraseña: secret_sauce</x:v>
      </x:c>
      <x:c r="H62" s="60" t="str">
        <x:v>1. Abrir https://www.saucedemo.com/.
2. Ingresar standard_user en el campo Username.
3. Ingresar secret_sauce en el campo Password.
4. Seleccionar Login.
5. Seleccionar Open Menu.
6. Seleccionar Logout.</x:v>
      </x:c>
      <x:c r="I62" s="60" t="str">
        <x:v>La aplicación dirige a https://www.saucedemo.com/ y muestra Username, Password y Login.</x:v>
      </x:c>
      <x:c r="J62" s="61" t="str">
        <x:v>Alta</x:v>
      </x:c>
      <x:c r="K62" s="61" t="str">
        <x:v>Not Run</x:v>
      </x:c>
      <x:c r="L62" s="60" t="str"/>
    </x:row>
    <x:row r="63" ht="84" customHeight="1">
      <x:c r="A63" s="59" t="str">
        <x:v>LGT-002</x:v>
      </x:c>
      <x:c r="B63" s="60" t="str">
        <x:v>Logout</x:v>
      </x:c>
      <x:c r="C63" s="60" t="str">
        <x:v>Protección de rutas</x:v>
      </x:c>
      <x:c r="D63" s="60" t="str">
        <x:v>Intentar acceder a Products sin sesión activa</x:v>
      </x:c>
      <x:c r="E63" s="61" t="str">
        <x:v>Negativa</x:v>
      </x:c>
      <x:c r="F63" s="60" t="str">
        <x:v>Equipo con conexión estable a Internet.
Google Chrome instalado y operativo.
URL: https://www.saucedemo.com/
La aplicación carga correctamente.</x:v>
      </x:c>
      <x:c r="G63" s="60" t="str">
        <x:v>Usuario: standard_user
Contraseña: secret_sauce</x:v>
      </x:c>
      <x:c r="H63" s="60" t="str">
        <x:v>1. Abrir https://www.saucedemo.com/.
2. Ingresar standard_user en el campo Username.
3. Ingresar secret_sauce en el campo Password.
4. Seleccionar Login.
5. Seleccionar Open Menu.
6. Seleccionar Logout.
7. Ingresar directamente https://www.saucedemo.com/inventory.html en la barra de direcciones.</x:v>
      </x:c>
      <x:c r="I63" s="60" t="str">
        <x:v>La aplicación regresa a Login y muestra literalmente: Epic sadface: You can only access '/inventory.html' when you are logged in.</x:v>
      </x:c>
      <x:c r="J63" s="61" t="str">
        <x:v>Alta</x:v>
      </x:c>
      <x:c r="K63" s="61" t="str">
        <x:v>Not Run</x:v>
      </x:c>
      <x:c r="L63" s="60" t="str"/>
    </x:row>
  </x:sheetData>
  <x:mergeCells>
    <x:mergeCell ref="A1:L2"/>
    <x:mergeCell ref="A3:L3"/>
  </x:mergeCells>
  <x:conditionalFormatting sqref="J6:J63">
    <x:cfRule type="containsText" dxfId="0" priority="1" operator="containsText" text="Alta"/>
    <x:cfRule type="containsText" dxfId="1" priority="2" operator="containsText" text="Media"/>
    <x:cfRule type="containsText" dxfId="2" priority="3" operator="containsText" text="Baja"/>
  </x:conditionalFormatting>
  <x:conditionalFormatting sqref="K6:K63">
    <x:cfRule type="containsText" dxfId="3" priority="4" operator="containsText" text="Pass"/>
    <x:cfRule type="containsText" dxfId="4" priority="5" operator="containsText" text="Fail"/>
    <x:cfRule type="containsText" dxfId="5" priority="6" operator="containsText" text="Blocked"/>
    <x:cfRule type="containsText" dxfId="6" priority="7" operator="containsText" text="Not Run"/>
  </x:conditionalFormatting>
  <x:dataValidations count="3">
    <x:dataValidation type="list" sqref="E6:E63">
      <x:formula1>"Positiva,Negativa,Validación"</x:formula1>
    </x:dataValidation>
    <x:dataValidation type="list" sqref="J6:J63">
      <x:formula1>"Alta,Media,Baja"</x:formula1>
    </x:dataValidation>
    <x:dataValidation type="list" sqref="K6:K63">
      <x:formula1>"Not Run,Pass,Fail,Blocked"</x:formula1>
    </x:dataValidation>
  </x:dataValidations>
  <x:pageMargins left="0.7" right="0.7" top="0.75" bottom="0.75" header="0.3" footer="0.3"/>
  <x:tableParts count="1">
    <x:tablePart xmlns:r="http://schemas.openxmlformats.org/officeDocument/2006/relationships" r:id="Rcfd258aaf0bc473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16" hidden="0" customWidth="1"/>
    <x:col min="4" max="4" width="62" hidden="0" customWidth="1"/>
    <x:col min="5" max="5" width="34" hidden="0" customWidth="1"/>
    <x:col min="6" max="6" width="42" hidden="0" customWidth="1"/>
  </x:cols>
  <x:sheetData>
    <x:row r="1" ht="28" customHeight="1">
      <x:c r="A1" s="52" t="str">
        <x:v>DATOS DE PRUEBA – SAUCEDEMO</x:v>
      </x:c>
      <x:c r="B1" s="52"/>
      <x:c r="C1" s="52"/>
      <x:c r="D1" s="52"/>
      <x:c r="E1" s="52"/>
      <x:c r="F1" s="52"/>
    </x:row>
    <x:row r="2" ht="28" customHeight="1">
      <x:c r="A2" s="52"/>
      <x:c r="B2" s="52"/>
      <x:c r="C2" s="52"/>
      <x:c r="D2" s="52"/>
      <x:c r="E2" s="52"/>
      <x:c r="F2" s="52"/>
    </x:row>
    <x:row r="3">
      <x:c r="A3" s="54"/>
      <x:c r="B3" s="54"/>
      <x:c r="C3" s="54"/>
      <x:c r="D3" s="54"/>
      <x:c r="E3" s="54"/>
      <x:c r="F3" s="54"/>
    </x:row>
    <x:row r="4">
      <x:c r="A4" s="62" t="str">
        <x:v>Usuarios oficiales</x:v>
      </x:c>
      <x:c r="B4" s="62"/>
      <x:c r="C4" s="62"/>
      <x:c r="D4" s="62"/>
      <x:c r="E4" s="62"/>
      <x:c r="F4" s="62"/>
    </x:row>
    <x:row r="5" ht="32" customHeight="1">
      <x:c r="A5" s="55" t="str">
        <x:v>Tipo de dato</x:v>
      </x:c>
      <x:c r="B5" s="55" t="str">
        <x:v>Usuario</x:v>
      </x:c>
      <x:c r="C5" s="55" t="str">
        <x:v>Contraseña</x:v>
      </x:c>
      <x:c r="D5" s="55" t="str">
        <x:v>Resultado de autenticación</x:v>
      </x:c>
      <x:c r="E5" s="55" t="str">
        <x:v>Uso principal</x:v>
      </x:c>
      <x:c r="F5" s="55" t="str">
        <x:v>Observaciones</x:v>
      </x:c>
    </x:row>
    <x:row r="6" ht="48" customHeight="1">
      <x:c r="A6" s="63" t="str">
        <x:v>Usuario oficial</x:v>
      </x:c>
      <x:c r="B6" s="63" t="str">
        <x:v>standard_user</x:v>
      </x:c>
      <x:c r="C6" s="63" t="str">
        <x:v>secret_sauce</x:v>
      </x:c>
      <x:c r="D6" s="63" t="str">
        <x:v>Acceso a Products</x:v>
      </x:c>
      <x:c r="E6" s="63" t="str">
        <x:v>Flujo base end-to-end</x:v>
      </x:c>
      <x:c r="F6" s="63" t="str">
        <x:v>Usuario principal de las pruebas funcionales.</x:v>
      </x:c>
    </x:row>
    <x:row r="7" ht="48" customHeight="1">
      <x:c r="A7" s="63" t="str">
        <x:v>Usuario oficial</x:v>
      </x:c>
      <x:c r="B7" s="63" t="str">
        <x:v>locked_out_user</x:v>
      </x:c>
      <x:c r="C7" s="63" t="str">
        <x:v>secret_sauce</x:v>
      </x:c>
      <x:c r="D7" s="63" t="str">
        <x:v>Acceso rechazado</x:v>
      </x:c>
      <x:c r="E7" s="63" t="str">
        <x:v>Validación de bloqueo</x:v>
      </x:c>
      <x:c r="F7" s="63" t="str">
        <x:v>Mensaje literal documentado en LGN-006.</x:v>
      </x:c>
    </x:row>
    <x:row r="8" ht="48" customHeight="1">
      <x:c r="A8" s="63" t="str">
        <x:v>Usuario oficial</x:v>
      </x:c>
      <x:c r="B8" s="63" t="str">
        <x:v>problem_user</x:v>
      </x:c>
      <x:c r="C8" s="63" t="str">
        <x:v>secret_sauce</x:v>
      </x:c>
      <x:c r="D8" s="63" t="str">
        <x:v>Acceso a Products</x:v>
      </x:c>
      <x:c r="E8" s="63" t="str">
        <x:v>Cobertura de perfil oficial</x:v>
      </x:c>
      <x:c r="F8" s="63" t="str">
        <x:v>Registrar anomalías reproducidas en Reporte de Bugs.</x:v>
      </x:c>
    </x:row>
    <x:row r="9" ht="48" customHeight="1">
      <x:c r="A9" s="63" t="str">
        <x:v>Usuario oficial</x:v>
      </x:c>
      <x:c r="B9" s="63" t="str">
        <x:v>performance_glitch_user</x:v>
      </x:c>
      <x:c r="C9" s="63" t="str">
        <x:v>secret_sauce</x:v>
      </x:c>
      <x:c r="D9" s="63" t="str">
        <x:v>Acceso a Products</x:v>
      </x:c>
      <x:c r="E9" s="63" t="str">
        <x:v>Cobertura de perfil oficial</x:v>
      </x:c>
      <x:c r="F9" s="63" t="str">
        <x:v>Sin SLA funcional publicado en la interfaz.</x:v>
      </x:c>
    </x:row>
    <x:row r="10" ht="48" customHeight="1">
      <x:c r="A10" s="63" t="str">
        <x:v>Usuario oficial</x:v>
      </x:c>
      <x:c r="B10" s="63" t="str">
        <x:v>error_user</x:v>
      </x:c>
      <x:c r="C10" s="63" t="str">
        <x:v>secret_sauce</x:v>
      </x:c>
      <x:c r="D10" s="63" t="str">
        <x:v>Acceso a Products</x:v>
      </x:c>
      <x:c r="E10" s="63" t="str">
        <x:v>Cobertura de perfil oficial</x:v>
      </x:c>
      <x:c r="F10" s="63" t="str">
        <x:v>Registrar anomalías reproducidas en Reporte de Bugs.</x:v>
      </x:c>
    </x:row>
    <x:row r="11" ht="48" customHeight="1">
      <x:c r="A11" s="63" t="str">
        <x:v>Usuario oficial</x:v>
      </x:c>
      <x:c r="B11" s="63" t="str">
        <x:v>visual_user</x:v>
      </x:c>
      <x:c r="C11" s="63" t="str">
        <x:v>secret_sauce</x:v>
      </x:c>
      <x:c r="D11" s="63" t="str">
        <x:v>Acceso a Products</x:v>
      </x:c>
      <x:c r="E11" s="63" t="str">
        <x:v>Cobertura de perfil oficial</x:v>
      </x:c>
      <x:c r="F11" s="63" t="str">
        <x:v>Registrar anomalías visuales reproducidas en Reporte de Bugs.</x:v>
      </x:c>
    </x:row>
    <x:row r="12">
      <x:c r="A12" s="54"/>
      <x:c r="B12" s="54"/>
      <x:c r="C12" s="54"/>
      <x:c r="D12" s="54"/>
      <x:c r="E12" s="54"/>
      <x:c r="F12" s="54"/>
    </x:row>
    <x:row r="13">
      <x:c r="A13" s="62" t="str">
        <x:v>Productos disponibles</x:v>
      </x:c>
      <x:c r="B13" s="62"/>
      <x:c r="C13" s="62"/>
      <x:c r="D13" s="62"/>
      <x:c r="E13" s="62"/>
      <x:c r="F13" s="62"/>
    </x:row>
    <x:row r="14" ht="32" customHeight="1">
      <x:c r="A14" s="55" t="str">
        <x:v>Tipo de dato</x:v>
      </x:c>
      <x:c r="B14" s="55" t="str">
        <x:v>Producto</x:v>
      </x:c>
      <x:c r="C14" s="55" t="str">
        <x:v>Precio USD</x:v>
      </x:c>
      <x:c r="D14" s="55" t="str">
        <x:v>Descripción verificada</x:v>
      </x:c>
      <x:c r="E14" s="55" t="str">
        <x:v>Uso reutilizable</x:v>
      </x:c>
      <x:c r="F14" s="55" t="str">
        <x:v>Fuente</x:v>
      </x:c>
    </x:row>
    <x:row r="15" ht="72" customHeight="1">
      <x:c r="A15" s="63" t="str">
        <x:v>Producto</x:v>
      </x:c>
      <x:c r="B15" s="63" t="str">
        <x:v>Sauce Labs Backpack</x:v>
      </x:c>
      <x:c r="C15" s="64" t="n">
        <x:v>29.99</x:v>
      </x:c>
      <x:c r="D15" s="63" t="str">
        <x:v>carry.allTheThings() with the sleek, streamlined Sly Pack that melds uncompromising style with unequaled laptop and tablet protection.</x:v>
      </x:c>
      <x:c r="E15" s="63" t="str">
        <x:v>Producto base y cálculos</x:v>
      </x:c>
      <x:c r="F15" s="63" t="str">
        <x:v>https://www.saucedemo.com/inventory.html</x:v>
      </x:c>
    </x:row>
    <x:row r="16" ht="72" customHeight="1">
      <x:c r="A16" s="63" t="str">
        <x:v>Producto</x:v>
      </x:c>
      <x:c r="B16" s="63" t="str">
        <x:v>Sauce Labs Bike Light</x:v>
      </x:c>
      <x:c r="C16" s="64" t="n">
        <x:v>9.99</x:v>
      </x:c>
      <x:c r="D16" s="63" t="str">
        <x:v>A red light isn't the desired state in testing but it sure helps when riding your bike at night. Water-resistant with 3 lighting modes, 1 AAA battery included.</x:v>
      </x:c>
      <x:c r="E16" s="63" t="str">
        <x:v>Segundo producto y cálculos</x:v>
      </x:c>
      <x:c r="F16" s="63" t="str">
        <x:v>https://www.saucedemo.com/inventory.html</x:v>
      </x:c>
    </x:row>
    <x:row r="17" ht="72" customHeight="1">
      <x:c r="A17" s="63" t="str">
        <x:v>Producto</x:v>
      </x:c>
      <x:c r="B17" s="63" t="str">
        <x:v>Sauce Labs Bolt T-Shirt</x:v>
      </x:c>
      <x:c r="C17" s="64" t="n">
        <x:v>15.99</x:v>
      </x:c>
      <x:c r="D17" s="63" t="str">
        <x:v>Get your testing superhero on with the Sauce Labs bolt T-shirt. From American Apparel, 100% ringspun combed cotton, heather gray with red bolt.</x:v>
      </x:c>
      <x:c r="E17" s="63" t="str">
        <x:v>Validación de catálogo</x:v>
      </x:c>
      <x:c r="F17" s="63" t="str">
        <x:v>https://www.saucedemo.com/inventory.html</x:v>
      </x:c>
    </x:row>
    <x:row r="18" ht="72" customHeight="1">
      <x:c r="A18" s="63" t="str">
        <x:v>Producto</x:v>
      </x:c>
      <x:c r="B18" s="63" t="str">
        <x:v>Sauce Labs Fleece Jacket</x:v>
      </x:c>
      <x:c r="C18" s="64" t="n">
        <x:v>49.99</x:v>
      </x:c>
      <x:c r="D18" s="63" t="str">
        <x:v>It's not every day that you come across a midweight quarter-zip fleece jacket capable of handling everything from a relaxing day outdoors to a busy day at the office.</x:v>
      </x:c>
      <x:c r="E18" s="63" t="str">
        <x:v>Validación de catálogo</x:v>
      </x:c>
      <x:c r="F18" s="63" t="str">
        <x:v>https://www.saucedemo.com/inventory.html</x:v>
      </x:c>
    </x:row>
    <x:row r="19" ht="72" customHeight="1">
      <x:c r="A19" s="63" t="str">
        <x:v>Producto</x:v>
      </x:c>
      <x:c r="B19" s="63" t="str">
        <x:v>Sauce Labs Onesie</x:v>
      </x:c>
      <x:c r="C19" s="64" t="n">
        <x:v>7.99</x:v>
      </x:c>
      <x:c r="D19" s="63" t="str">
        <x:v>Rib snap infant onesie for the junior automation engineer in development. Reinforced 3-snap bottom closure, two-needle hemmed sleeved and bottom won't unravel.</x:v>
      </x:c>
      <x:c r="E19" s="63" t="str">
        <x:v>Reset App State</x:v>
      </x:c>
      <x:c r="F19" s="63" t="str">
        <x:v>https://www.saucedemo.com/inventory.html</x:v>
      </x:c>
    </x:row>
    <x:row r="20" ht="72" customHeight="1">
      <x:c r="A20" s="63" t="str">
        <x:v>Producto</x:v>
      </x:c>
      <x:c r="B20" s="63" t="str">
        <x:v>Test.allTheThings() T-Shirt (Red)</x:v>
      </x:c>
      <x:c r="C20" s="64" t="n">
        <x:v>15.99</x:v>
      </x:c>
      <x:c r="D20" s="63" t="str">
        <x:v>This classic Sauce Labs t-shirt is perfect to wear when cozying up to your keyboard to automate a few tests. Super-soft and comfy ringspun combed cotton.</x:v>
      </x:c>
      <x:c r="E20" s="63" t="str">
        <x:v>Validación de catálogo</x:v>
      </x:c>
      <x:c r="F20" s="63" t="str">
        <x:v>https://www.saucedemo.com/inventory.html</x:v>
      </x:c>
    </x:row>
    <x:row r="21">
      <x:c r="A21" s="54"/>
      <x:c r="B21" s="54"/>
      <x:c r="C21" s="54"/>
      <x:c r="D21" s="54"/>
      <x:c r="E21" s="54"/>
      <x:c r="F21" s="54"/>
    </x:row>
    <x:row r="22">
      <x:c r="A22" s="62" t="str">
        <x:v>Datos reutilizables de Checkout y navegación</x:v>
      </x:c>
      <x:c r="B22" s="62"/>
      <x:c r="C22" s="62"/>
      <x:c r="D22" s="62"/>
      <x:c r="E22" s="62"/>
      <x:c r="F22" s="62"/>
    </x:row>
    <x:row r="23" ht="32" customHeight="1">
      <x:c r="A23" s="55" t="str">
        <x:v>Conjunto</x:v>
      </x:c>
      <x:c r="B23" s="55" t="str">
        <x:v>Campo</x:v>
      </x:c>
      <x:c r="C23" s="55" t="str">
        <x:v>Valor</x:v>
      </x:c>
      <x:c r="D23" s="55" t="str">
        <x:v>Formato</x:v>
      </x:c>
      <x:c r="E23" s="55" t="str">
        <x:v>Casos asociados</x:v>
      </x:c>
      <x:c r="F23" s="55" t="str">
        <x:v>Observaciones</x:v>
      </x:c>
    </x:row>
    <x:row r="24" ht="44" customHeight="1">
      <x:c r="A24" s="63" t="str">
        <x:v>Checkout válido</x:v>
      </x:c>
      <x:c r="B24" s="63" t="str">
        <x:v>Nombre</x:v>
      </x:c>
      <x:c r="C24" s="63" t="str">
        <x:v>Juan</x:v>
      </x:c>
      <x:c r="D24" s="63" t="str">
        <x:v>Texto</x:v>
      </x:c>
      <x:c r="E24" s="63" t="str">
        <x:v>CHK-004; CMP-001 a CMP-008; FIN-001 a FIN-003</x:v>
      </x:c>
      <x:c r="F24" s="63" t="str">
        <x:v>Dato válido reutilizable.</x:v>
      </x:c>
    </x:row>
    <x:row r="25" ht="44" customHeight="1">
      <x:c r="A25" s="63" t="str">
        <x:v>Checkout válido</x:v>
      </x:c>
      <x:c r="B25" s="63" t="str">
        <x:v>Apellido</x:v>
      </x:c>
      <x:c r="C25" s="63" t="str">
        <x:v>Pérez</x:v>
      </x:c>
      <x:c r="D25" s="63" t="str">
        <x:v>Texto</x:v>
      </x:c>
      <x:c r="E25" s="63" t="str">
        <x:v>CHK-004; CMP-001 a CMP-008; FIN-001 a FIN-003</x:v>
      </x:c>
      <x:c r="F25" s="63" t="str">
        <x:v>Dato válido reutilizable.</x:v>
      </x:c>
    </x:row>
    <x:row r="26" ht="44" customHeight="1">
      <x:c r="A26" s="63" t="str">
        <x:v>Checkout válido</x:v>
      </x:c>
      <x:c r="B26" s="63" t="str">
        <x:v>Código Postal</x:v>
      </x:c>
      <x:c r="C26" s="63" t="str">
        <x:v>050001​</x:v>
      </x:c>
      <x:c r="D26" s="63" t="str">
        <x:v>Texto conservando cero inicial</x:v>
      </x:c>
      <x:c r="E26" s="63" t="str">
        <x:v>CHK-004; CMP-001 a CMP-008; FIN-001 a FIN-003</x:v>
      </x:c>
      <x:c r="F26" s="63" t="str">
        <x:v>No se infiere validación de formato adicional.</x:v>
      </x:c>
    </x:row>
    <x:row r="27" ht="44" customHeight="1">
      <x:c r="A27" s="63" t="str">
        <x:v>Credencial inválida</x:v>
      </x:c>
      <x:c r="B27" s="63" t="str">
        <x:v>Usuario</x:v>
      </x:c>
      <x:c r="C27" s="63" t="str">
        <x:v>invalid_user</x:v>
      </x:c>
      <x:c r="D27" s="63" t="str">
        <x:v>Texto</x:v>
      </x:c>
      <x:c r="E27" s="63" t="str">
        <x:v>LGN-009</x:v>
      </x:c>
      <x:c r="F27" s="63" t="str">
        <x:v>Permitido únicamente para prueba negativa.</x:v>
      </x:c>
    </x:row>
    <x:row r="28" ht="44" customHeight="1">
      <x:c r="A28" s="63" t="str">
        <x:v>Credencial inválida</x:v>
      </x:c>
      <x:c r="B28" s="63" t="str">
        <x:v>Contraseña</x:v>
      </x:c>
      <x:c r="C28" s="63" t="str">
        <x:v>invalid_password</x:v>
      </x:c>
      <x:c r="D28" s="63" t="str">
        <x:v>Texto</x:v>
      </x:c>
      <x:c r="E28" s="63" t="str">
        <x:v>LGN-009; LGN-010</x:v>
      </x:c>
      <x:c r="F28" s="63" t="str">
        <x:v>Permitido únicamente para prueba negativa.</x:v>
      </x:c>
    </x:row>
    <x:row r="29" ht="44" customHeight="1">
      <x:c r="A29" s="63" t="str">
        <x:v>URL</x:v>
      </x:c>
      <x:c r="B29" s="63" t="str">
        <x:v>Login</x:v>
      </x:c>
      <x:c r="C29" s="63" t="str">
        <x:v>https://www.saucedemo.com/</x:v>
      </x:c>
      <x:c r="D29" s="63" t="str">
        <x:v>URL</x:v>
      </x:c>
      <x:c r="E29" s="63" t="str">
        <x:v>Todos</x:v>
      </x:c>
      <x:c r="F29" s="63" t="str">
        <x:v>Punto de entrada.</x:v>
      </x:c>
    </x:row>
    <x:row r="30" ht="44" customHeight="1">
      <x:c r="A30" s="63" t="str">
        <x:v>URL</x:v>
      </x:c>
      <x:c r="B30" s="63" t="str">
        <x:v>Products</x:v>
      </x:c>
      <x:c r="C30" s="63" t="str">
        <x:v>https://www.saucedemo.com/inventory.html</x:v>
      </x:c>
      <x:c r="D30" s="63" t="str">
        <x:v>URL</x:v>
      </x:c>
      <x:c r="E30" s="63" t="str">
        <x:v>Productos; Menú; Logout</x:v>
      </x:c>
      <x:c r="F30" s="63" t="str">
        <x:v>Ruta protegida.</x:v>
      </x:c>
    </x:row>
    <x:row r="31" ht="44" customHeight="1">
      <x:c r="A31" s="63" t="str">
        <x:v>URL</x:v>
      </x:c>
      <x:c r="B31" s="63" t="str">
        <x:v>Carrito</x:v>
      </x:c>
      <x:c r="C31" s="63" t="str">
        <x:v>https://www.saucedemo.com/cart.html</x:v>
      </x:c>
      <x:c r="D31" s="63" t="str">
        <x:v>URL</x:v>
      </x:c>
      <x:c r="E31" s="63" t="str">
        <x:v>Carrito; Checkout</x:v>
      </x:c>
      <x:c r="F31" s="63" t="str">
        <x:v>Ruta del carrito.</x:v>
      </x:c>
    </x:row>
    <x:row r="32" ht="44" customHeight="1">
      <x:c r="A32" s="63" t="str">
        <x:v>URL</x:v>
      </x:c>
      <x:c r="B32" s="63" t="str">
        <x:v>Checkout información</x:v>
      </x:c>
      <x:c r="C32" s="63" t="str">
        <x:v>https://www.saucedemo.com/checkout-step-one.html</x:v>
      </x:c>
      <x:c r="D32" s="63" t="str">
        <x:v>URL</x:v>
      </x:c>
      <x:c r="E32" s="63" t="str">
        <x:v>Checkout</x:v>
      </x:c>
      <x:c r="F32" s="63" t="str">
        <x:v>Formulario de datos.</x:v>
      </x:c>
    </x:row>
    <x:row r="33" ht="44" customHeight="1">
      <x:c r="A33" s="63" t="str">
        <x:v>URL</x:v>
      </x:c>
      <x:c r="B33" s="63" t="str">
        <x:v>Checkout resumen</x:v>
      </x:c>
      <x:c r="C33" s="63" t="str">
        <x:v>https://www.saucedemo.com/checkout-step-two.html</x:v>
      </x:c>
      <x:c r="D33" s="63" t="str">
        <x:v>URL</x:v>
      </x:c>
      <x:c r="E33" s="63" t="str">
        <x:v>Resumen de compra</x:v>
      </x:c>
      <x:c r="F33" s="63" t="str">
        <x:v>Resumen previo a Finish.</x:v>
      </x:c>
    </x:row>
    <x:row r="34" ht="44" customHeight="1">
      <x:c r="A34" s="63" t="str">
        <x:v>URL</x:v>
      </x:c>
      <x:c r="B34" s="63" t="str">
        <x:v>Checkout completo</x:v>
      </x:c>
      <x:c r="C34" s="63" t="str">
        <x:v>https://www.saucedemo.com/checkout-complete.html</x:v>
      </x:c>
      <x:c r="D34" s="63" t="str">
        <x:v>URL</x:v>
      </x:c>
      <x:c r="E34" s="63" t="str">
        <x:v>Finalización de compra</x:v>
      </x:c>
      <x:c r="F34" s="63" t="str">
        <x:v>Confirmación de la orden.</x:v>
      </x:c>
    </x:row>
  </x:sheetData>
  <x:mergeCells>
    <x:mergeCell ref="A1:F2"/>
    <x:mergeCell ref="A4:F4"/>
    <x:mergeCell ref="A13:F13"/>
    <x:mergeCell ref="A22:F2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38" hidden="0" customWidth="1"/>
    <x:col min="3" max="3" width="20" hidden="0" customWidth="1"/>
    <x:col min="4" max="4" width="14" hidden="0" customWidth="1"/>
    <x:col min="5" max="5" width="22" hidden="0" customWidth="1"/>
    <x:col min="6" max="6" width="13" hidden="0" customWidth="1"/>
    <x:col min="7" max="7" width="14" hidden="0" customWidth="1"/>
    <x:col min="8" max="8" width="24" hidden="0" customWidth="1"/>
    <x:col min="9" max="9" width="20" hidden="0" customWidth="1"/>
    <x:col min="10" max="10" width="18" hidden="0" customWidth="1"/>
    <x:col min="11" max="11" width="14" hidden="0" customWidth="1"/>
    <x:col min="12" max="12" width="34" hidden="0" customWidth="1"/>
    <x:col min="13" max="13" width="38" hidden="0" customWidth="1"/>
    <x:col min="14" max="14" width="58" hidden="0" customWidth="1"/>
    <x:col min="15" max="15" width="48" hidden="0" customWidth="1"/>
    <x:col min="16" max="16" width="48" hidden="0" customWidth="1"/>
    <x:col min="17" max="17" width="42" hidden="0" customWidth="1"/>
    <x:col min="18" max="18" width="18" hidden="0" customWidth="1"/>
    <x:col min="19" max="19" width="38" hidden="0" customWidth="1"/>
  </x:cols>
  <x:sheetData>
    <x:row r="1">
      <x:c r="A1" s="52" t="str">
        <x:v>REPORTE DE BUGS – PLANTILLA DE REGISTRO</x:v>
      </x:c>
      <x:c r="B1" s="52"/>
      <x:c r="C1" s="52"/>
      <x:c r="D1" s="52"/>
      <x:c r="E1" s="52"/>
      <x:c r="F1" s="52"/>
      <x:c r="G1" s="52"/>
      <x:c r="H1" s="52"/>
      <x:c r="I1" s="52"/>
      <x:c r="J1" s="52"/>
      <x:c r="K1" s="52"/>
      <x:c r="L1" s="52"/>
      <x:c r="M1" s="52"/>
      <x:c r="N1" s="52"/>
      <x:c r="O1" s="52"/>
      <x:c r="P1" s="52"/>
      <x:c r="Q1" s="52"/>
      <x:c r="R1" s="52"/>
      <x:c r="S1" s="52"/>
    </x:row>
    <x:row r="2">
      <x:c r="A2" s="52"/>
      <x:c r="B2" s="52"/>
      <x:c r="C2" s="52"/>
      <x:c r="D2" s="52"/>
      <x:c r="E2" s="52"/>
      <x:c r="F2" s="52"/>
      <x:c r="G2" s="52"/>
      <x:c r="H2" s="52"/>
      <x:c r="I2" s="52"/>
      <x:c r="J2" s="52"/>
      <x:c r="K2" s="52"/>
      <x:c r="L2" s="52"/>
      <x:c r="M2" s="52"/>
      <x:c r="N2" s="52"/>
      <x:c r="O2" s="52"/>
      <x:c r="P2" s="52"/>
      <x:c r="Q2" s="52"/>
      <x:c r="R2" s="52"/>
      <x:c r="S2" s="52"/>
    </x:row>
    <x:row r="3">
      <x:c r="A3" s="53" t="str">
        <x:v>Registrar un defecto por fila. Adjuntar evidencia con nombre trazable al Bug ID. No registrar defectos dentro de Casos de Prueba.</x:v>
      </x:c>
      <x:c r="B3" s="53"/>
      <x:c r="C3" s="53"/>
      <x:c r="D3" s="53"/>
      <x:c r="E3" s="53"/>
      <x:c r="F3" s="53"/>
      <x:c r="G3" s="53"/>
      <x:c r="H3" s="53"/>
      <x:c r="I3" s="53"/>
      <x:c r="J3" s="53"/>
      <x:c r="K3" s="53"/>
      <x:c r="L3" s="53"/>
      <x:c r="M3" s="53"/>
      <x:c r="N3" s="53"/>
      <x:c r="O3" s="53"/>
      <x:c r="P3" s="53"/>
      <x:c r="Q3" s="53"/>
      <x:c r="R3" s="53"/>
      <x:c r="S3" s="53"/>
    </x:row>
    <x:row r="4">
      <x:c r="A4" s="54"/>
      <x:c r="B4" s="54"/>
      <x:c r="C4" s="54"/>
      <x:c r="D4" s="54"/>
      <x:c r="E4" s="54"/>
      <x:c r="F4" s="54"/>
      <x:c r="G4" s="54"/>
      <x:c r="H4" s="54"/>
      <x:c r="I4" s="54"/>
      <x:c r="J4" s="54"/>
      <x:c r="K4" s="54"/>
      <x:c r="L4" s="54"/>
      <x:c r="M4" s="54"/>
      <x:c r="N4" s="54"/>
      <x:c r="O4" s="54"/>
      <x:c r="P4" s="54"/>
      <x:c r="Q4" s="54"/>
      <x:c r="R4" s="54"/>
      <x:c r="S4" s="54"/>
    </x:row>
    <x:row r="5" ht="42" customHeight="1">
      <x:c r="A5" s="55" t="str">
        <x:v>Bug ID</x:v>
      </x:c>
      <x:c r="B5" s="55" t="str">
        <x:v>Título</x:v>
      </x:c>
      <x:c r="C5" s="55" t="str">
        <x:v>Módulo</x:v>
      </x:c>
      <x:c r="D5" s="55" t="str">
        <x:v>Fecha</x:v>
      </x:c>
      <x:c r="E5" s="55" t="str">
        <x:v>Reportado por</x:v>
      </x:c>
      <x:c r="F5" s="55" t="str">
        <x:v>Prioridad</x:v>
      </x:c>
      <x:c r="G5" s="55" t="str">
        <x:v>Severidad</x:v>
      </x:c>
      <x:c r="H5" s="55" t="str">
        <x:v>Entorno</x:v>
      </x:c>
      <x:c r="I5" s="55" t="str">
        <x:v>Sistema Operativo</x:v>
      </x:c>
      <x:c r="J5" s="55" t="str">
        <x:v>Navegador</x:v>
      </x:c>
      <x:c r="K5" s="55" t="str">
        <x:v>Versión</x:v>
      </x:c>
      <x:c r="L5" s="55" t="str">
        <x:v>URL</x:v>
      </x:c>
      <x:c r="M5" s="55" t="str">
        <x:v>Precondiciones</x:v>
      </x:c>
      <x:c r="N5" s="55" t="str">
        <x:v>Pasos para reproducir</x:v>
      </x:c>
      <x:c r="O5" s="55" t="str">
        <x:v>Resultado esperado</x:v>
      </x:c>
      <x:c r="P5" s="55" t="str">
        <x:v>Resultado actual</x:v>
      </x:c>
      <x:c r="Q5" s="55" t="str">
        <x:v>Evidencia o ruta de la evidencia</x:v>
      </x:c>
      <x:c r="R5" s="55" t="str">
        <x:v>Estado</x:v>
      </x:c>
      <x:c r="S5" s="55" t="str">
        <x:v>Observaciones</x:v>
      </x:c>
    </x:row>
    <x:row r="6" ht="54" customHeight="1">
      <x:c r="A6" s="57"/>
      <x:c r="B6" s="57"/>
      <x:c r="C6" s="57"/>
      <x:c r="D6" s="65"/>
      <x:c r="E6" s="57"/>
      <x:c r="F6" s="57"/>
      <x:c r="G6" s="57"/>
      <x:c r="H6" s="57"/>
      <x:c r="I6" s="57"/>
      <x:c r="J6" s="57"/>
      <x:c r="K6" s="57"/>
      <x:c r="L6" s="57"/>
      <x:c r="M6" s="57"/>
      <x:c r="N6" s="57"/>
      <x:c r="O6" s="57"/>
      <x:c r="P6" s="57"/>
      <x:c r="Q6" s="57"/>
      <x:c r="R6" s="57"/>
      <x:c r="S6" s="57"/>
    </x:row>
    <x:row r="7" ht="54" customHeight="1">
      <x:c r="A7" s="60"/>
      <x:c r="B7" s="60"/>
      <x:c r="C7" s="60"/>
      <x:c r="D7" s="66"/>
      <x:c r="E7" s="60"/>
      <x:c r="F7" s="60"/>
      <x:c r="G7" s="60"/>
      <x:c r="H7" s="60"/>
      <x:c r="I7" s="60"/>
      <x:c r="J7" s="60"/>
      <x:c r="K7" s="60"/>
      <x:c r="L7" s="60"/>
      <x:c r="M7" s="60"/>
      <x:c r="N7" s="60"/>
      <x:c r="O7" s="60"/>
      <x:c r="P7" s="60"/>
      <x:c r="Q7" s="60"/>
      <x:c r="R7" s="60"/>
      <x:c r="S7" s="60"/>
    </x:row>
    <x:row r="8" ht="54" customHeight="1">
      <x:c r="A8" s="60"/>
      <x:c r="B8" s="60"/>
      <x:c r="C8" s="60"/>
      <x:c r="D8" s="66"/>
      <x:c r="E8" s="60"/>
      <x:c r="F8" s="60"/>
      <x:c r="G8" s="60"/>
      <x:c r="H8" s="60"/>
      <x:c r="I8" s="60"/>
      <x:c r="J8" s="60"/>
      <x:c r="K8" s="60"/>
      <x:c r="L8" s="60"/>
      <x:c r="M8" s="60"/>
      <x:c r="N8" s="60"/>
      <x:c r="O8" s="60"/>
      <x:c r="P8" s="60"/>
      <x:c r="Q8" s="60"/>
      <x:c r="R8" s="60"/>
      <x:c r="S8" s="60"/>
    </x:row>
    <x:row r="9" ht="54" customHeight="1">
      <x:c r="A9" s="60"/>
      <x:c r="B9" s="60"/>
      <x:c r="C9" s="60"/>
      <x:c r="D9" s="66"/>
      <x:c r="E9" s="60"/>
      <x:c r="F9" s="60"/>
      <x:c r="G9" s="60"/>
      <x:c r="H9" s="60"/>
      <x:c r="I9" s="60"/>
      <x:c r="J9" s="60"/>
      <x:c r="K9" s="60"/>
      <x:c r="L9" s="60"/>
      <x:c r="M9" s="60"/>
      <x:c r="N9" s="60"/>
      <x:c r="O9" s="60"/>
      <x:c r="P9" s="60"/>
      <x:c r="Q9" s="60"/>
      <x:c r="R9" s="60"/>
      <x:c r="S9" s="60"/>
    </x:row>
    <x:row r="10" ht="54" customHeight="1">
      <x:c r="A10" s="60"/>
      <x:c r="B10" s="60"/>
      <x:c r="C10" s="60"/>
      <x:c r="D10" s="66"/>
      <x:c r="E10" s="60"/>
      <x:c r="F10" s="60"/>
      <x:c r="G10" s="60"/>
      <x:c r="H10" s="60"/>
      <x:c r="I10" s="60"/>
      <x:c r="J10" s="60"/>
      <x:c r="K10" s="60"/>
      <x:c r="L10" s="60"/>
      <x:c r="M10" s="60"/>
      <x:c r="N10" s="60"/>
      <x:c r="O10" s="60"/>
      <x:c r="P10" s="60"/>
      <x:c r="Q10" s="60"/>
      <x:c r="R10" s="60"/>
      <x:c r="S10" s="60"/>
    </x:row>
    <x:row r="11" ht="54" customHeight="1">
      <x:c r="A11" s="60"/>
      <x:c r="B11" s="60"/>
      <x:c r="C11" s="60"/>
      <x:c r="D11" s="66"/>
      <x:c r="E11" s="60"/>
      <x:c r="F11" s="60"/>
      <x:c r="G11" s="60"/>
      <x:c r="H11" s="60"/>
      <x:c r="I11" s="60"/>
      <x:c r="J11" s="60"/>
      <x:c r="K11" s="60"/>
      <x:c r="L11" s="60"/>
      <x:c r="M11" s="60"/>
      <x:c r="N11" s="60"/>
      <x:c r="O11" s="60"/>
      <x:c r="P11" s="60"/>
      <x:c r="Q11" s="60"/>
      <x:c r="R11" s="60"/>
      <x:c r="S11" s="60"/>
    </x:row>
    <x:row r="12" ht="54" customHeight="1">
      <x:c r="A12" s="60"/>
      <x:c r="B12" s="60"/>
      <x:c r="C12" s="60"/>
      <x:c r="D12" s="66"/>
      <x:c r="E12" s="60"/>
      <x:c r="F12" s="60"/>
      <x:c r="G12" s="60"/>
      <x:c r="H12" s="60"/>
      <x:c r="I12" s="60"/>
      <x:c r="J12" s="60"/>
      <x:c r="K12" s="60"/>
      <x:c r="L12" s="60"/>
      <x:c r="M12" s="60"/>
      <x:c r="N12" s="60"/>
      <x:c r="O12" s="60"/>
      <x:c r="P12" s="60"/>
      <x:c r="Q12" s="60"/>
      <x:c r="R12" s="60"/>
      <x:c r="S12" s="60"/>
    </x:row>
    <x:row r="13" ht="54" customHeight="1">
      <x:c r="A13" s="60"/>
      <x:c r="B13" s="60"/>
      <x:c r="C13" s="60"/>
      <x:c r="D13" s="66"/>
      <x:c r="E13" s="60"/>
      <x:c r="F13" s="60"/>
      <x:c r="G13" s="60"/>
      <x:c r="H13" s="60"/>
      <x:c r="I13" s="60"/>
      <x:c r="J13" s="60"/>
      <x:c r="K13" s="60"/>
      <x:c r="L13" s="60"/>
      <x:c r="M13" s="60"/>
      <x:c r="N13" s="60"/>
      <x:c r="O13" s="60"/>
      <x:c r="P13" s="60"/>
      <x:c r="Q13" s="60"/>
      <x:c r="R13" s="60"/>
      <x:c r="S13" s="60"/>
    </x:row>
    <x:row r="14" ht="54" customHeight="1">
      <x:c r="A14" s="60"/>
      <x:c r="B14" s="60"/>
      <x:c r="C14" s="60"/>
      <x:c r="D14" s="66"/>
      <x:c r="E14" s="60"/>
      <x:c r="F14" s="60"/>
      <x:c r="G14" s="60"/>
      <x:c r="H14" s="60"/>
      <x:c r="I14" s="60"/>
      <x:c r="J14" s="60"/>
      <x:c r="K14" s="60"/>
      <x:c r="L14" s="60"/>
      <x:c r="M14" s="60"/>
      <x:c r="N14" s="60"/>
      <x:c r="O14" s="60"/>
      <x:c r="P14" s="60"/>
      <x:c r="Q14" s="60"/>
      <x:c r="R14" s="60"/>
      <x:c r="S14" s="60"/>
    </x:row>
    <x:row r="15" ht="54" customHeight="1">
      <x:c r="A15" s="60"/>
      <x:c r="B15" s="60"/>
      <x:c r="C15" s="60"/>
      <x:c r="D15" s="66"/>
      <x:c r="E15" s="60"/>
      <x:c r="F15" s="60"/>
      <x:c r="G15" s="60"/>
      <x:c r="H15" s="60"/>
      <x:c r="I15" s="60"/>
      <x:c r="J15" s="60"/>
      <x:c r="K15" s="60"/>
      <x:c r="L15" s="60"/>
      <x:c r="M15" s="60"/>
      <x:c r="N15" s="60"/>
      <x:c r="O15" s="60"/>
      <x:c r="P15" s="60"/>
      <x:c r="Q15" s="60"/>
      <x:c r="R15" s="60"/>
      <x:c r="S15" s="60"/>
    </x:row>
    <x:row r="16" ht="54" customHeight="1">
      <x:c r="A16" s="60"/>
      <x:c r="B16" s="60"/>
      <x:c r="C16" s="60"/>
      <x:c r="D16" s="66"/>
      <x:c r="E16" s="60"/>
      <x:c r="F16" s="60"/>
      <x:c r="G16" s="60"/>
      <x:c r="H16" s="60"/>
      <x:c r="I16" s="60"/>
      <x:c r="J16" s="60"/>
      <x:c r="K16" s="60"/>
      <x:c r="L16" s="60"/>
      <x:c r="M16" s="60"/>
      <x:c r="N16" s="60"/>
      <x:c r="O16" s="60"/>
      <x:c r="P16" s="60"/>
      <x:c r="Q16" s="60"/>
      <x:c r="R16" s="60"/>
      <x:c r="S16" s="60"/>
    </x:row>
    <x:row r="17" ht="54" customHeight="1">
      <x:c r="A17" s="60"/>
      <x:c r="B17" s="60"/>
      <x:c r="C17" s="60"/>
      <x:c r="D17" s="66"/>
      <x:c r="E17" s="60"/>
      <x:c r="F17" s="60"/>
      <x:c r="G17" s="60"/>
      <x:c r="H17" s="60"/>
      <x:c r="I17" s="60"/>
      <x:c r="J17" s="60"/>
      <x:c r="K17" s="60"/>
      <x:c r="L17" s="60"/>
      <x:c r="M17" s="60"/>
      <x:c r="N17" s="60"/>
      <x:c r="O17" s="60"/>
      <x:c r="P17" s="60"/>
      <x:c r="Q17" s="60"/>
      <x:c r="R17" s="60"/>
      <x:c r="S17" s="60"/>
    </x:row>
    <x:row r="18" ht="54" customHeight="1">
      <x:c r="A18" s="60"/>
      <x:c r="B18" s="60"/>
      <x:c r="C18" s="60"/>
      <x:c r="D18" s="66"/>
      <x:c r="E18" s="60"/>
      <x:c r="F18" s="60"/>
      <x:c r="G18" s="60"/>
      <x:c r="H18" s="60"/>
      <x:c r="I18" s="60"/>
      <x:c r="J18" s="60"/>
      <x:c r="K18" s="60"/>
      <x:c r="L18" s="60"/>
      <x:c r="M18" s="60"/>
      <x:c r="N18" s="60"/>
      <x:c r="O18" s="60"/>
      <x:c r="P18" s="60"/>
      <x:c r="Q18" s="60"/>
      <x:c r="R18" s="60"/>
      <x:c r="S18" s="60"/>
    </x:row>
    <x:row r="19" ht="54" customHeight="1">
      <x:c r="A19" s="60"/>
      <x:c r="B19" s="60"/>
      <x:c r="C19" s="60"/>
      <x:c r="D19" s="66"/>
      <x:c r="E19" s="60"/>
      <x:c r="F19" s="60"/>
      <x:c r="G19" s="60"/>
      <x:c r="H19" s="60"/>
      <x:c r="I19" s="60"/>
      <x:c r="J19" s="60"/>
      <x:c r="K19" s="60"/>
      <x:c r="L19" s="60"/>
      <x:c r="M19" s="60"/>
      <x:c r="N19" s="60"/>
      <x:c r="O19" s="60"/>
      <x:c r="P19" s="60"/>
      <x:c r="Q19" s="60"/>
      <x:c r="R19" s="60"/>
      <x:c r="S19" s="60"/>
    </x:row>
    <x:row r="20" ht="54" customHeight="1">
      <x:c r="A20" s="60"/>
      <x:c r="B20" s="60"/>
      <x:c r="C20" s="60"/>
      <x:c r="D20" s="66"/>
      <x:c r="E20" s="60"/>
      <x:c r="F20" s="60"/>
      <x:c r="G20" s="60"/>
      <x:c r="H20" s="60"/>
      <x:c r="I20" s="60"/>
      <x:c r="J20" s="60"/>
      <x:c r="K20" s="60"/>
      <x:c r="L20" s="60"/>
      <x:c r="M20" s="60"/>
      <x:c r="N20" s="60"/>
      <x:c r="O20" s="60"/>
      <x:c r="P20" s="60"/>
      <x:c r="Q20" s="60"/>
      <x:c r="R20" s="60"/>
      <x:c r="S20" s="60"/>
    </x:row>
    <x:row r="21" ht="54" customHeight="1">
      <x:c r="A21" s="60"/>
      <x:c r="B21" s="60"/>
      <x:c r="C21" s="60"/>
      <x:c r="D21" s="66"/>
      <x:c r="E21" s="60"/>
      <x:c r="F21" s="60"/>
      <x:c r="G21" s="60"/>
      <x:c r="H21" s="60"/>
      <x:c r="I21" s="60"/>
      <x:c r="J21" s="60"/>
      <x:c r="K21" s="60"/>
      <x:c r="L21" s="60"/>
      <x:c r="M21" s="60"/>
      <x:c r="N21" s="60"/>
      <x:c r="O21" s="60"/>
      <x:c r="P21" s="60"/>
      <x:c r="Q21" s="60"/>
      <x:c r="R21" s="60"/>
      <x:c r="S21" s="60"/>
    </x:row>
    <x:row r="22" ht="54" customHeight="1">
      <x:c r="A22" s="60"/>
      <x:c r="B22" s="60"/>
      <x:c r="C22" s="60"/>
      <x:c r="D22" s="66"/>
      <x:c r="E22" s="60"/>
      <x:c r="F22" s="60"/>
      <x:c r="G22" s="60"/>
      <x:c r="H22" s="60"/>
      <x:c r="I22" s="60"/>
      <x:c r="J22" s="60"/>
      <x:c r="K22" s="60"/>
      <x:c r="L22" s="60"/>
      <x:c r="M22" s="60"/>
      <x:c r="N22" s="60"/>
      <x:c r="O22" s="60"/>
      <x:c r="P22" s="60"/>
      <x:c r="Q22" s="60"/>
      <x:c r="R22" s="60"/>
      <x:c r="S22" s="60"/>
    </x:row>
    <x:row r="23" ht="54" customHeight="1">
      <x:c r="A23" s="60"/>
      <x:c r="B23" s="60"/>
      <x:c r="C23" s="60"/>
      <x:c r="D23" s="66"/>
      <x:c r="E23" s="60"/>
      <x:c r="F23" s="60"/>
      <x:c r="G23" s="60"/>
      <x:c r="H23" s="60"/>
      <x:c r="I23" s="60"/>
      <x:c r="J23" s="60"/>
      <x:c r="K23" s="60"/>
      <x:c r="L23" s="60"/>
      <x:c r="M23" s="60"/>
      <x:c r="N23" s="60"/>
      <x:c r="O23" s="60"/>
      <x:c r="P23" s="60"/>
      <x:c r="Q23" s="60"/>
      <x:c r="R23" s="60"/>
      <x:c r="S23" s="60"/>
    </x:row>
    <x:row r="24" ht="54" customHeight="1">
      <x:c r="A24" s="60"/>
      <x:c r="B24" s="60"/>
      <x:c r="C24" s="60"/>
      <x:c r="D24" s="66"/>
      <x:c r="E24" s="60"/>
      <x:c r="F24" s="60"/>
      <x:c r="G24" s="60"/>
      <x:c r="H24" s="60"/>
      <x:c r="I24" s="60"/>
      <x:c r="J24" s="60"/>
      <x:c r="K24" s="60"/>
      <x:c r="L24" s="60"/>
      <x:c r="M24" s="60"/>
      <x:c r="N24" s="60"/>
      <x:c r="O24" s="60"/>
      <x:c r="P24" s="60"/>
      <x:c r="Q24" s="60"/>
      <x:c r="R24" s="60"/>
      <x:c r="S24" s="60"/>
    </x:row>
    <x:row r="25" ht="54" customHeight="1">
      <x:c r="A25" s="60"/>
      <x:c r="B25" s="60"/>
      <x:c r="C25" s="60"/>
      <x:c r="D25" s="66"/>
      <x:c r="E25" s="60"/>
      <x:c r="F25" s="60"/>
      <x:c r="G25" s="60"/>
      <x:c r="H25" s="60"/>
      <x:c r="I25" s="60"/>
      <x:c r="J25" s="60"/>
      <x:c r="K25" s="60"/>
      <x:c r="L25" s="60"/>
      <x:c r="M25" s="60"/>
      <x:c r="N25" s="60"/>
      <x:c r="O25" s="60"/>
      <x:c r="P25" s="60"/>
      <x:c r="Q25" s="60"/>
      <x:c r="R25" s="60"/>
      <x:c r="S25" s="60"/>
    </x:row>
    <x:row r="26" ht="54" customHeight="1">
      <x:c r="A26" s="60"/>
      <x:c r="B26" s="60"/>
      <x:c r="C26" s="60"/>
      <x:c r="D26" s="66"/>
      <x:c r="E26" s="60"/>
      <x:c r="F26" s="60"/>
      <x:c r="G26" s="60"/>
      <x:c r="H26" s="60"/>
      <x:c r="I26" s="60"/>
      <x:c r="J26" s="60"/>
      <x:c r="K26" s="60"/>
      <x:c r="L26" s="60"/>
      <x:c r="M26" s="60"/>
      <x:c r="N26" s="60"/>
      <x:c r="O26" s="60"/>
      <x:c r="P26" s="60"/>
      <x:c r="Q26" s="60"/>
      <x:c r="R26" s="60"/>
      <x:c r="S26" s="60"/>
    </x:row>
    <x:row r="27" ht="54" customHeight="1">
      <x:c r="A27" s="60"/>
      <x:c r="B27" s="60"/>
      <x:c r="C27" s="60"/>
      <x:c r="D27" s="66"/>
      <x:c r="E27" s="60"/>
      <x:c r="F27" s="60"/>
      <x:c r="G27" s="60"/>
      <x:c r="H27" s="60"/>
      <x:c r="I27" s="60"/>
      <x:c r="J27" s="60"/>
      <x:c r="K27" s="60"/>
      <x:c r="L27" s="60"/>
      <x:c r="M27" s="60"/>
      <x:c r="N27" s="60"/>
      <x:c r="O27" s="60"/>
      <x:c r="P27" s="60"/>
      <x:c r="Q27" s="60"/>
      <x:c r="R27" s="60"/>
      <x:c r="S27" s="60"/>
    </x:row>
    <x:row r="28" ht="54" customHeight="1">
      <x:c r="A28" s="60"/>
      <x:c r="B28" s="60"/>
      <x:c r="C28" s="60"/>
      <x:c r="D28" s="66"/>
      <x:c r="E28" s="60"/>
      <x:c r="F28" s="60"/>
      <x:c r="G28" s="60"/>
      <x:c r="H28" s="60"/>
      <x:c r="I28" s="60"/>
      <x:c r="J28" s="60"/>
      <x:c r="K28" s="60"/>
      <x:c r="L28" s="60"/>
      <x:c r="M28" s="60"/>
      <x:c r="N28" s="60"/>
      <x:c r="O28" s="60"/>
      <x:c r="P28" s="60"/>
      <x:c r="Q28" s="60"/>
      <x:c r="R28" s="60"/>
      <x:c r="S28" s="60"/>
    </x:row>
    <x:row r="29" ht="54" customHeight="1">
      <x:c r="A29" s="60"/>
      <x:c r="B29" s="60"/>
      <x:c r="C29" s="60"/>
      <x:c r="D29" s="66"/>
      <x:c r="E29" s="60"/>
      <x:c r="F29" s="60"/>
      <x:c r="G29" s="60"/>
      <x:c r="H29" s="60"/>
      <x:c r="I29" s="60"/>
      <x:c r="J29" s="60"/>
      <x:c r="K29" s="60"/>
      <x:c r="L29" s="60"/>
      <x:c r="M29" s="60"/>
      <x:c r="N29" s="60"/>
      <x:c r="O29" s="60"/>
      <x:c r="P29" s="60"/>
      <x:c r="Q29" s="60"/>
      <x:c r="R29" s="60"/>
      <x:c r="S29" s="60"/>
    </x:row>
    <x:row r="30" ht="54" customHeight="1">
      <x:c r="A30" s="60"/>
      <x:c r="B30" s="60"/>
      <x:c r="C30" s="60"/>
      <x:c r="D30" s="66"/>
      <x:c r="E30" s="60"/>
      <x:c r="F30" s="60"/>
      <x:c r="G30" s="60"/>
      <x:c r="H30" s="60"/>
      <x:c r="I30" s="60"/>
      <x:c r="J30" s="60"/>
      <x:c r="K30" s="60"/>
      <x:c r="L30" s="60"/>
      <x:c r="M30" s="60"/>
      <x:c r="N30" s="60"/>
      <x:c r="O30" s="60"/>
      <x:c r="P30" s="60"/>
      <x:c r="Q30" s="60"/>
      <x:c r="R30" s="60"/>
      <x:c r="S30" s="60"/>
    </x:row>
    <x:row r="31" ht="54" customHeight="1">
      <x:c r="A31" s="60"/>
      <x:c r="B31" s="60"/>
      <x:c r="C31" s="60"/>
      <x:c r="D31" s="66"/>
      <x:c r="E31" s="60"/>
      <x:c r="F31" s="60"/>
      <x:c r="G31" s="60"/>
      <x:c r="H31" s="60"/>
      <x:c r="I31" s="60"/>
      <x:c r="J31" s="60"/>
      <x:c r="K31" s="60"/>
      <x:c r="L31" s="60"/>
      <x:c r="M31" s="60"/>
      <x:c r="N31" s="60"/>
      <x:c r="O31" s="60"/>
      <x:c r="P31" s="60"/>
      <x:c r="Q31" s="60"/>
      <x:c r="R31" s="60"/>
      <x:c r="S31" s="60"/>
    </x:row>
    <x:row r="32" ht="54" customHeight="1">
      <x:c r="A32" s="60"/>
      <x:c r="B32" s="60"/>
      <x:c r="C32" s="60"/>
      <x:c r="D32" s="66"/>
      <x:c r="E32" s="60"/>
      <x:c r="F32" s="60"/>
      <x:c r="G32" s="60"/>
      <x:c r="H32" s="60"/>
      <x:c r="I32" s="60"/>
      <x:c r="J32" s="60"/>
      <x:c r="K32" s="60"/>
      <x:c r="L32" s="60"/>
      <x:c r="M32" s="60"/>
      <x:c r="N32" s="60"/>
      <x:c r="O32" s="60"/>
      <x:c r="P32" s="60"/>
      <x:c r="Q32" s="60"/>
      <x:c r="R32" s="60"/>
      <x:c r="S32" s="60"/>
    </x:row>
    <x:row r="33" ht="54" customHeight="1">
      <x:c r="A33" s="60"/>
      <x:c r="B33" s="60"/>
      <x:c r="C33" s="60"/>
      <x:c r="D33" s="66"/>
      <x:c r="E33" s="60"/>
      <x:c r="F33" s="60"/>
      <x:c r="G33" s="60"/>
      <x:c r="H33" s="60"/>
      <x:c r="I33" s="60"/>
      <x:c r="J33" s="60"/>
      <x:c r="K33" s="60"/>
      <x:c r="L33" s="60"/>
      <x:c r="M33" s="60"/>
      <x:c r="N33" s="60"/>
      <x:c r="O33" s="60"/>
      <x:c r="P33" s="60"/>
      <x:c r="Q33" s="60"/>
      <x:c r="R33" s="60"/>
      <x:c r="S33" s="60"/>
    </x:row>
    <x:row r="34" ht="54" customHeight="1">
      <x:c r="A34" s="60"/>
      <x:c r="B34" s="60"/>
      <x:c r="C34" s="60"/>
      <x:c r="D34" s="66"/>
      <x:c r="E34" s="60"/>
      <x:c r="F34" s="60"/>
      <x:c r="G34" s="60"/>
      <x:c r="H34" s="60"/>
      <x:c r="I34" s="60"/>
      <x:c r="J34" s="60"/>
      <x:c r="K34" s="60"/>
      <x:c r="L34" s="60"/>
      <x:c r="M34" s="60"/>
      <x:c r="N34" s="60"/>
      <x:c r="O34" s="60"/>
      <x:c r="P34" s="60"/>
      <x:c r="Q34" s="60"/>
      <x:c r="R34" s="60"/>
      <x:c r="S34" s="60"/>
    </x:row>
    <x:row r="35" ht="54" customHeight="1">
      <x:c r="A35" s="60"/>
      <x:c r="B35" s="60"/>
      <x:c r="C35" s="60"/>
      <x:c r="D35" s="66"/>
      <x:c r="E35" s="60"/>
      <x:c r="F35" s="60"/>
      <x:c r="G35" s="60"/>
      <x:c r="H35" s="60"/>
      <x:c r="I35" s="60"/>
      <x:c r="J35" s="60"/>
      <x:c r="K35" s="60"/>
      <x:c r="L35" s="60"/>
      <x:c r="M35" s="60"/>
      <x:c r="N35" s="60"/>
      <x:c r="O35" s="60"/>
      <x:c r="P35" s="60"/>
      <x:c r="Q35" s="60"/>
      <x:c r="R35" s="60"/>
      <x:c r="S35" s="60"/>
    </x:row>
    <x:row r="36" ht="54" customHeight="1">
      <x:c r="A36" s="60"/>
      <x:c r="B36" s="60"/>
      <x:c r="C36" s="60"/>
      <x:c r="D36" s="66"/>
      <x:c r="E36" s="60"/>
      <x:c r="F36" s="60"/>
      <x:c r="G36" s="60"/>
      <x:c r="H36" s="60"/>
      <x:c r="I36" s="60"/>
      <x:c r="J36" s="60"/>
      <x:c r="K36" s="60"/>
      <x:c r="L36" s="60"/>
      <x:c r="M36" s="60"/>
      <x:c r="N36" s="60"/>
      <x:c r="O36" s="60"/>
      <x:c r="P36" s="60"/>
      <x:c r="Q36" s="60"/>
      <x:c r="R36" s="60"/>
      <x:c r="S36" s="60"/>
    </x:row>
    <x:row r="37" ht="54" customHeight="1">
      <x:c r="A37" s="60"/>
      <x:c r="B37" s="60"/>
      <x:c r="C37" s="60"/>
      <x:c r="D37" s="66"/>
      <x:c r="E37" s="60"/>
      <x:c r="F37" s="60"/>
      <x:c r="G37" s="60"/>
      <x:c r="H37" s="60"/>
      <x:c r="I37" s="60"/>
      <x:c r="J37" s="60"/>
      <x:c r="K37" s="60"/>
      <x:c r="L37" s="60"/>
      <x:c r="M37" s="60"/>
      <x:c r="N37" s="60"/>
      <x:c r="O37" s="60"/>
      <x:c r="P37" s="60"/>
      <x:c r="Q37" s="60"/>
      <x:c r="R37" s="60"/>
      <x:c r="S37" s="60"/>
    </x:row>
    <x:row r="38" ht="54" customHeight="1">
      <x:c r="A38" s="60"/>
      <x:c r="B38" s="60"/>
      <x:c r="C38" s="60"/>
      <x:c r="D38" s="66"/>
      <x:c r="E38" s="60"/>
      <x:c r="F38" s="60"/>
      <x:c r="G38" s="60"/>
      <x:c r="H38" s="60"/>
      <x:c r="I38" s="60"/>
      <x:c r="J38" s="60"/>
      <x:c r="K38" s="60"/>
      <x:c r="L38" s="60"/>
      <x:c r="M38" s="60"/>
      <x:c r="N38" s="60"/>
      <x:c r="O38" s="60"/>
      <x:c r="P38" s="60"/>
      <x:c r="Q38" s="60"/>
      <x:c r="R38" s="60"/>
      <x:c r="S38" s="60"/>
    </x:row>
    <x:row r="39" ht="54" customHeight="1">
      <x:c r="A39" s="60"/>
      <x:c r="B39" s="60"/>
      <x:c r="C39" s="60"/>
      <x:c r="D39" s="66"/>
      <x:c r="E39" s="60"/>
      <x:c r="F39" s="60"/>
      <x:c r="G39" s="60"/>
      <x:c r="H39" s="60"/>
      <x:c r="I39" s="60"/>
      <x:c r="J39" s="60"/>
      <x:c r="K39" s="60"/>
      <x:c r="L39" s="60"/>
      <x:c r="M39" s="60"/>
      <x:c r="N39" s="60"/>
      <x:c r="O39" s="60"/>
      <x:c r="P39" s="60"/>
      <x:c r="Q39" s="60"/>
      <x:c r="R39" s="60"/>
      <x:c r="S39" s="60"/>
    </x:row>
    <x:row r="40" ht="54" customHeight="1">
      <x:c r="A40" s="60"/>
      <x:c r="B40" s="60"/>
      <x:c r="C40" s="60"/>
      <x:c r="D40" s="66"/>
      <x:c r="E40" s="60"/>
      <x:c r="F40" s="60"/>
      <x:c r="G40" s="60"/>
      <x:c r="H40" s="60"/>
      <x:c r="I40" s="60"/>
      <x:c r="J40" s="60"/>
      <x:c r="K40" s="60"/>
      <x:c r="L40" s="60"/>
      <x:c r="M40" s="60"/>
      <x:c r="N40" s="60"/>
      <x:c r="O40" s="60"/>
      <x:c r="P40" s="60"/>
      <x:c r="Q40" s="60"/>
      <x:c r="R40" s="60"/>
      <x:c r="S40" s="60"/>
    </x:row>
    <x:row r="41" ht="54" customHeight="1">
      <x:c r="A41" s="60"/>
      <x:c r="B41" s="60"/>
      <x:c r="C41" s="60"/>
      <x:c r="D41" s="66"/>
      <x:c r="E41" s="60"/>
      <x:c r="F41" s="60"/>
      <x:c r="G41" s="60"/>
      <x:c r="H41" s="60"/>
      <x:c r="I41" s="60"/>
      <x:c r="J41" s="60"/>
      <x:c r="K41" s="60"/>
      <x:c r="L41" s="60"/>
      <x:c r="M41" s="60"/>
      <x:c r="N41" s="60"/>
      <x:c r="O41" s="60"/>
      <x:c r="P41" s="60"/>
      <x:c r="Q41" s="60"/>
      <x:c r="R41" s="60"/>
      <x:c r="S41" s="60"/>
    </x:row>
    <x:row r="42" ht="54" customHeight="1">
      <x:c r="A42" s="60"/>
      <x:c r="B42" s="60"/>
      <x:c r="C42" s="60"/>
      <x:c r="D42" s="66"/>
      <x:c r="E42" s="60"/>
      <x:c r="F42" s="60"/>
      <x:c r="G42" s="60"/>
      <x:c r="H42" s="60"/>
      <x:c r="I42" s="60"/>
      <x:c r="J42" s="60"/>
      <x:c r="K42" s="60"/>
      <x:c r="L42" s="60"/>
      <x:c r="M42" s="60"/>
      <x:c r="N42" s="60"/>
      <x:c r="O42" s="60"/>
      <x:c r="P42" s="60"/>
      <x:c r="Q42" s="60"/>
      <x:c r="R42" s="60"/>
      <x:c r="S42" s="60"/>
    </x:row>
    <x:row r="43" ht="54" customHeight="1">
      <x:c r="A43" s="60"/>
      <x:c r="B43" s="60"/>
      <x:c r="C43" s="60"/>
      <x:c r="D43" s="66"/>
      <x:c r="E43" s="60"/>
      <x:c r="F43" s="60"/>
      <x:c r="G43" s="60"/>
      <x:c r="H43" s="60"/>
      <x:c r="I43" s="60"/>
      <x:c r="J43" s="60"/>
      <x:c r="K43" s="60"/>
      <x:c r="L43" s="60"/>
      <x:c r="M43" s="60"/>
      <x:c r="N43" s="60"/>
      <x:c r="O43" s="60"/>
      <x:c r="P43" s="60"/>
      <x:c r="Q43" s="60"/>
      <x:c r="R43" s="60"/>
      <x:c r="S43" s="60"/>
    </x:row>
    <x:row r="44" ht="54" customHeight="1">
      <x:c r="A44" s="60"/>
      <x:c r="B44" s="60"/>
      <x:c r="C44" s="60"/>
      <x:c r="D44" s="66"/>
      <x:c r="E44" s="60"/>
      <x:c r="F44" s="60"/>
      <x:c r="G44" s="60"/>
      <x:c r="H44" s="60"/>
      <x:c r="I44" s="60"/>
      <x:c r="J44" s="60"/>
      <x:c r="K44" s="60"/>
      <x:c r="L44" s="60"/>
      <x:c r="M44" s="60"/>
      <x:c r="N44" s="60"/>
      <x:c r="O44" s="60"/>
      <x:c r="P44" s="60"/>
      <x:c r="Q44" s="60"/>
      <x:c r="R44" s="60"/>
      <x:c r="S44" s="60"/>
    </x:row>
    <x:row r="45" ht="54" customHeight="1">
      <x:c r="A45" s="60"/>
      <x:c r="B45" s="60"/>
      <x:c r="C45" s="60"/>
      <x:c r="D45" s="66"/>
      <x:c r="E45" s="60"/>
      <x:c r="F45" s="60"/>
      <x:c r="G45" s="60"/>
      <x:c r="H45" s="60"/>
      <x:c r="I45" s="60"/>
      <x:c r="J45" s="60"/>
      <x:c r="K45" s="60"/>
      <x:c r="L45" s="60"/>
      <x:c r="M45" s="60"/>
      <x:c r="N45" s="60"/>
      <x:c r="O45" s="60"/>
      <x:c r="P45" s="60"/>
      <x:c r="Q45" s="60"/>
      <x:c r="R45" s="60"/>
      <x:c r="S45" s="60"/>
    </x:row>
    <x:row r="46" ht="54" customHeight="1">
      <x:c r="A46" s="60"/>
      <x:c r="B46" s="60"/>
      <x:c r="C46" s="60"/>
      <x:c r="D46" s="66"/>
      <x:c r="E46" s="60"/>
      <x:c r="F46" s="60"/>
      <x:c r="G46" s="60"/>
      <x:c r="H46" s="60"/>
      <x:c r="I46" s="60"/>
      <x:c r="J46" s="60"/>
      <x:c r="K46" s="60"/>
      <x:c r="L46" s="60"/>
      <x:c r="M46" s="60"/>
      <x:c r="N46" s="60"/>
      <x:c r="O46" s="60"/>
      <x:c r="P46" s="60"/>
      <x:c r="Q46" s="60"/>
      <x:c r="R46" s="60"/>
      <x:c r="S46" s="60"/>
    </x:row>
    <x:row r="47" ht="54" customHeight="1">
      <x:c r="A47" s="60"/>
      <x:c r="B47" s="60"/>
      <x:c r="C47" s="60"/>
      <x:c r="D47" s="66"/>
      <x:c r="E47" s="60"/>
      <x:c r="F47" s="60"/>
      <x:c r="G47" s="60"/>
      <x:c r="H47" s="60"/>
      <x:c r="I47" s="60"/>
      <x:c r="J47" s="60"/>
      <x:c r="K47" s="60"/>
      <x:c r="L47" s="60"/>
      <x:c r="M47" s="60"/>
      <x:c r="N47" s="60"/>
      <x:c r="O47" s="60"/>
      <x:c r="P47" s="60"/>
      <x:c r="Q47" s="60"/>
      <x:c r="R47" s="60"/>
      <x:c r="S47" s="60"/>
    </x:row>
    <x:row r="48" ht="54" customHeight="1">
      <x:c r="A48" s="60"/>
      <x:c r="B48" s="60"/>
      <x:c r="C48" s="60"/>
      <x:c r="D48" s="66"/>
      <x:c r="E48" s="60"/>
      <x:c r="F48" s="60"/>
      <x:c r="G48" s="60"/>
      <x:c r="H48" s="60"/>
      <x:c r="I48" s="60"/>
      <x:c r="J48" s="60"/>
      <x:c r="K48" s="60"/>
      <x:c r="L48" s="60"/>
      <x:c r="M48" s="60"/>
      <x:c r="N48" s="60"/>
      <x:c r="O48" s="60"/>
      <x:c r="P48" s="60"/>
      <x:c r="Q48" s="60"/>
      <x:c r="R48" s="60"/>
      <x:c r="S48" s="60"/>
    </x:row>
    <x:row r="49" ht="54" customHeight="1">
      <x:c r="A49" s="60"/>
      <x:c r="B49" s="60"/>
      <x:c r="C49" s="60"/>
      <x:c r="D49" s="66"/>
      <x:c r="E49" s="60"/>
      <x:c r="F49" s="60"/>
      <x:c r="G49" s="60"/>
      <x:c r="H49" s="60"/>
      <x:c r="I49" s="60"/>
      <x:c r="J49" s="60"/>
      <x:c r="K49" s="60"/>
      <x:c r="L49" s="60"/>
      <x:c r="M49" s="60"/>
      <x:c r="N49" s="60"/>
      <x:c r="O49" s="60"/>
      <x:c r="P49" s="60"/>
      <x:c r="Q49" s="60"/>
      <x:c r="R49" s="60"/>
      <x:c r="S49" s="60"/>
    </x:row>
    <x:row r="50" ht="54" customHeight="1">
      <x:c r="A50" s="60"/>
      <x:c r="B50" s="60"/>
      <x:c r="C50" s="60"/>
      <x:c r="D50" s="66"/>
      <x:c r="E50" s="60"/>
      <x:c r="F50" s="60"/>
      <x:c r="G50" s="60"/>
      <x:c r="H50" s="60"/>
      <x:c r="I50" s="60"/>
      <x:c r="J50" s="60"/>
      <x:c r="K50" s="60"/>
      <x:c r="L50" s="60"/>
      <x:c r="M50" s="60"/>
      <x:c r="N50" s="60"/>
      <x:c r="O50" s="60"/>
      <x:c r="P50" s="60"/>
      <x:c r="Q50" s="60"/>
      <x:c r="R50" s="60"/>
      <x:c r="S50" s="60"/>
    </x:row>
    <x:row r="51" ht="54" customHeight="1">
      <x:c r="A51" s="60"/>
      <x:c r="B51" s="60"/>
      <x:c r="C51" s="60"/>
      <x:c r="D51" s="66"/>
      <x:c r="E51" s="60"/>
      <x:c r="F51" s="60"/>
      <x:c r="G51" s="60"/>
      <x:c r="H51" s="60"/>
      <x:c r="I51" s="60"/>
      <x:c r="J51" s="60"/>
      <x:c r="K51" s="60"/>
      <x:c r="L51" s="60"/>
      <x:c r="M51" s="60"/>
      <x:c r="N51" s="60"/>
      <x:c r="O51" s="60"/>
      <x:c r="P51" s="60"/>
      <x:c r="Q51" s="60"/>
      <x:c r="R51" s="60"/>
      <x:c r="S51" s="60"/>
    </x:row>
    <x:row r="52" ht="54" customHeight="1">
      <x:c r="A52" s="60"/>
      <x:c r="B52" s="60"/>
      <x:c r="C52" s="60"/>
      <x:c r="D52" s="66"/>
      <x:c r="E52" s="60"/>
      <x:c r="F52" s="60"/>
      <x:c r="G52" s="60"/>
      <x:c r="H52" s="60"/>
      <x:c r="I52" s="60"/>
      <x:c r="J52" s="60"/>
      <x:c r="K52" s="60"/>
      <x:c r="L52" s="60"/>
      <x:c r="M52" s="60"/>
      <x:c r="N52" s="60"/>
      <x:c r="O52" s="60"/>
      <x:c r="P52" s="60"/>
      <x:c r="Q52" s="60"/>
      <x:c r="R52" s="60"/>
      <x:c r="S52" s="60"/>
    </x:row>
    <x:row r="53" ht="54" customHeight="1">
      <x:c r="A53" s="60"/>
      <x:c r="B53" s="60"/>
      <x:c r="C53" s="60"/>
      <x:c r="D53" s="66"/>
      <x:c r="E53" s="60"/>
      <x:c r="F53" s="60"/>
      <x:c r="G53" s="60"/>
      <x:c r="H53" s="60"/>
      <x:c r="I53" s="60"/>
      <x:c r="J53" s="60"/>
      <x:c r="K53" s="60"/>
      <x:c r="L53" s="60"/>
      <x:c r="M53" s="60"/>
      <x:c r="N53" s="60"/>
      <x:c r="O53" s="60"/>
      <x:c r="P53" s="60"/>
      <x:c r="Q53" s="60"/>
      <x:c r="R53" s="60"/>
      <x:c r="S53" s="60"/>
    </x:row>
    <x:row r="54" ht="54" customHeight="1">
      <x:c r="A54" s="60"/>
      <x:c r="B54" s="60"/>
      <x:c r="C54" s="60"/>
      <x:c r="D54" s="66"/>
      <x:c r="E54" s="60"/>
      <x:c r="F54" s="60"/>
      <x:c r="G54" s="60"/>
      <x:c r="H54" s="60"/>
      <x:c r="I54" s="60"/>
      <x:c r="J54" s="60"/>
      <x:c r="K54" s="60"/>
      <x:c r="L54" s="60"/>
      <x:c r="M54" s="60"/>
      <x:c r="N54" s="60"/>
      <x:c r="O54" s="60"/>
      <x:c r="P54" s="60"/>
      <x:c r="Q54" s="60"/>
      <x:c r="R54" s="60"/>
      <x:c r="S54" s="60"/>
    </x:row>
    <x:row r="55" ht="54" customHeight="1">
      <x:c r="A55" s="60"/>
      <x:c r="B55" s="60"/>
      <x:c r="C55" s="60"/>
      <x:c r="D55" s="66"/>
      <x:c r="E55" s="60"/>
      <x:c r="F55" s="60"/>
      <x:c r="G55" s="60"/>
      <x:c r="H55" s="60"/>
      <x:c r="I55" s="60"/>
      <x:c r="J55" s="60"/>
      <x:c r="K55" s="60"/>
      <x:c r="L55" s="60"/>
      <x:c r="M55" s="60"/>
      <x:c r="N55" s="60"/>
      <x:c r="O55" s="60"/>
      <x:c r="P55" s="60"/>
      <x:c r="Q55" s="60"/>
      <x:c r="R55" s="60"/>
      <x:c r="S55" s="60"/>
    </x:row>
  </x:sheetData>
  <x:mergeCells>
    <x:mergeCell ref="A1:S2"/>
    <x:mergeCell ref="A3:S3"/>
  </x:mergeCells>
  <x:conditionalFormatting sqref="F6:F55">
    <x:cfRule type="containsText" dxfId="7" priority="1" operator="containsText" text="Alta"/>
    <x:cfRule type="containsText" dxfId="8" priority="2" operator="containsText" text="Media"/>
    <x:cfRule type="containsText" dxfId="9" priority="3" operator="containsText" text="Baja"/>
  </x:conditionalFormatting>
  <x:dataValidations count="5">
    <x:dataValidation type="list" sqref="C6:C55">
      <x:formula1>"Login,Productos,Carrito,Checkout,Resumen de compra,Finalización de compra,Menú lateral,Logout"</x:formula1>
    </x:dataValidation>
    <x:dataValidation type="list" sqref="F6:F55">
      <x:formula1>"Alta,Media,Baja"</x:formula1>
    </x:dataValidation>
    <x:dataValidation type="list" sqref="G6:G55">
      <x:formula1>"Crítica,Alta,Media,Baja"</x:formula1>
    </x:dataValidation>
    <x:dataValidation type="list" sqref="J6:J55">
      <x:formula1>"Google Chrome"</x:formula1>
    </x:dataValidation>
    <x:dataValidation type="list" sqref="R6:R55">
      <x:formula1>"Open,In Progress,Resolved,Closed,Rejected"</x:formula1>
    </x:dataValidation>
  </x:dataValidations>
  <x:pageMargins left="0.7" right="0.7" top="0.75" bottom="0.75" header="0.3" footer="0.3"/>
  <x:tableParts count="1">
    <x:tablePart xmlns:r="http://schemas.openxmlformats.org/officeDocument/2006/relationships" r:id="R35eda200554d41a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44" hidden="0" customWidth="1"/>
    <x:col min="3" max="3" width="54" hidden="0" customWidth="1"/>
    <x:col min="4" max="4" width="16" hidden="0" customWidth="1"/>
    <x:col min="5" max="5" width="34" hidden="0" customWidth="1"/>
    <x:col min="6" max="6" width="26"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28" customHeight="1">
      <x:c r="A1" s="52" t="str">
        <x:v>RESUMEN DE EJECUCIÓN Y COBERTURA – SAUCEDEMO</x:v>
      </x:c>
      <x:c r="B1" s="52"/>
      <x:c r="C1" s="52"/>
      <x:c r="D1" s="52"/>
      <x:c r="E1" s="52"/>
      <x:c r="F1" s="52"/>
      <x:c r="G1" s="52"/>
      <x:c r="H1" s="52"/>
      <x:c r="I1" s="52"/>
      <x:c r="J1" s="52"/>
      <x:c r="K1" s="52"/>
      <x:c r="L1" s="52"/>
      <x:c r="M1" s="52"/>
      <x:c r="N1" s="52"/>
    </x:row>
    <x:row r="2" ht="28" customHeight="1">
      <x:c r="A2" s="52"/>
      <x:c r="B2" s="52"/>
      <x:c r="C2" s="52"/>
      <x:c r="D2" s="52"/>
      <x:c r="E2" s="52"/>
      <x:c r="F2" s="52"/>
      <x:c r="G2" s="52"/>
      <x:c r="H2" s="52"/>
      <x:c r="I2" s="52"/>
      <x:c r="J2" s="52"/>
      <x:c r="K2" s="52"/>
      <x:c r="L2" s="52"/>
      <x:c r="M2" s="52"/>
      <x:c r="N2" s="52"/>
    </x:row>
    <x:row r="3">
      <x:c r="A3" s="54"/>
      <x:c r="B3" s="54"/>
      <x:c r="C3" s="54"/>
      <x:c r="D3" s="54"/>
      <x:c r="E3" s="54"/>
      <x:c r="F3" s="54"/>
      <x:c r="G3" s="54"/>
      <x:c r="H3" s="54"/>
      <x:c r="I3" s="54"/>
      <x:c r="J3" s="54"/>
      <x:c r="K3" s="54"/>
      <x:c r="L3" s="54"/>
      <x:c r="M3" s="54"/>
      <x:c r="N3" s="54"/>
    </x:row>
    <x:row r="4" ht="28" customHeight="1">
      <x:c r="A4" s="55" t="str">
        <x:v>Indicador</x:v>
      </x:c>
      <x:c r="B4" s="55" t="str">
        <x:v>Valor</x:v>
      </x:c>
      <x:c r="C4" s="54"/>
      <x:c r="D4" s="55" t="str">
        <x:v>Módulo</x:v>
      </x:c>
      <x:c r="E4" s="55" t="str">
        <x:v>Casos</x:v>
      </x:c>
      <x:c r="F4" s="54"/>
      <x:c r="G4" s="54"/>
      <x:c r="H4" s="54"/>
      <x:c r="I4" s="54"/>
      <x:c r="J4" s="54"/>
      <x:c r="K4" s="54"/>
      <x:c r="L4" s="54"/>
      <x:c r="M4" s="54"/>
      <x:c r="N4" s="54"/>
    </x:row>
    <x:row r="5" ht="28" customHeight="1">
      <x:c r="A5" s="67" t="str">
        <x:v>Total de casos de prueba</x:v>
      </x:c>
      <x:c r="B5" s="68" t="n">
        <x:f>COUNTA('Casos de Prueba'!$A$6:$A$200)</x:f>
        <x:v>58</x:v>
      </x:c>
      <x:c r="C5" s="54"/>
      <x:c r="D5" s="69" t="str">
        <x:v>Login</x:v>
      </x:c>
      <x:c r="E5" s="69" t="n">
        <x:f>COUNTIF('Casos de Prueba'!$B$6:$B$200,D5)</x:f>
        <x:v>11</x:v>
      </x:c>
      <x:c r="F5" s="54"/>
      <x:c r="G5" s="54"/>
      <x:c r="H5" s="54"/>
      <x:c r="I5" s="54"/>
      <x:c r="J5" s="54"/>
      <x:c r="K5" s="54"/>
      <x:c r="L5" s="54"/>
      <x:c r="M5" s="54"/>
      <x:c r="N5" s="54"/>
    </x:row>
    <x:row r="6" ht="28" customHeight="1">
      <x:c r="A6" s="67" t="str">
        <x:v>Casos ejecutados</x:v>
      </x:c>
      <x:c r="B6" s="68" t="n">
        <x:f>COUNTIF('Casos de Prueba'!$K$6:$K$200,"Pass")+COUNTIF('Casos de Prueba'!$K$6:$K$200,"Fail")+COUNTIF('Casos de Prueba'!$K$6:$K$200,"Blocked")</x:f>
        <x:v>0</x:v>
      </x:c>
      <x:c r="C6" s="54"/>
      <x:c r="D6" s="69" t="str">
        <x:v>Productos</x:v>
      </x:c>
      <x:c r="E6" s="69" t="n">
        <x:f>COUNTIF('Casos de Prueba'!$B$6:$B$200,D6)</x:f>
        <x:v>16</x:v>
      </x:c>
      <x:c r="F6" s="54"/>
      <x:c r="G6" s="54"/>
      <x:c r="H6" s="54"/>
      <x:c r="I6" s="54"/>
      <x:c r="J6" s="54"/>
      <x:c r="K6" s="54"/>
      <x:c r="L6" s="54"/>
      <x:c r="M6" s="54"/>
      <x:c r="N6" s="54"/>
    </x:row>
    <x:row r="7" ht="28" customHeight="1">
      <x:c r="A7" s="67" t="str">
        <x:v>Casos Pass</x:v>
      </x:c>
      <x:c r="B7" s="68" t="n">
        <x:f>COUNTIF('Casos de Prueba'!$K$6:$K$200,"Pass")</x:f>
        <x:v>0</x:v>
      </x:c>
      <x:c r="C7" s="54"/>
      <x:c r="D7" s="69" t="str">
        <x:v>Carrito</x:v>
      </x:c>
      <x:c r="E7" s="69" t="n">
        <x:f>COUNTIF('Casos de Prueba'!$B$6:$B$200,D7)</x:f>
        <x:v>7</x:v>
      </x:c>
      <x:c r="F7" s="54"/>
      <x:c r="G7" s="54"/>
      <x:c r="H7" s="54"/>
      <x:c r="I7" s="54"/>
      <x:c r="J7" s="54"/>
      <x:c r="K7" s="54"/>
      <x:c r="L7" s="54"/>
      <x:c r="M7" s="54"/>
      <x:c r="N7" s="54"/>
    </x:row>
    <x:row r="8" ht="28" customHeight="1">
      <x:c r="A8" s="67" t="str">
        <x:v>Casos Fail</x:v>
      </x:c>
      <x:c r="B8" s="68" t="n">
        <x:f>COUNTIF('Casos de Prueba'!$K$6:$K$200,"Fail")</x:f>
        <x:v>0</x:v>
      </x:c>
      <x:c r="C8" s="54"/>
      <x:c r="D8" s="69" t="str">
        <x:v>Checkout</x:v>
      </x:c>
      <x:c r="E8" s="69" t="n">
        <x:f>COUNTIF('Casos de Prueba'!$B$6:$B$200,D8)</x:f>
        <x:v>6</x:v>
      </x:c>
      <x:c r="F8" s="54"/>
      <x:c r="G8" s="54"/>
      <x:c r="H8" s="54"/>
      <x:c r="I8" s="54"/>
      <x:c r="J8" s="54"/>
      <x:c r="K8" s="54"/>
      <x:c r="L8" s="54"/>
      <x:c r="M8" s="54"/>
      <x:c r="N8" s="54"/>
    </x:row>
    <x:row r="9" ht="28" customHeight="1">
      <x:c r="A9" s="67" t="str">
        <x:v>Casos Blocked</x:v>
      </x:c>
      <x:c r="B9" s="68" t="n">
        <x:f>COUNTIF('Casos de Prueba'!$K$6:$K$200,"Blocked")</x:f>
        <x:v>0</x:v>
      </x:c>
      <x:c r="C9" s="54"/>
      <x:c r="D9" s="69" t="str">
        <x:v>Resumen de compra</x:v>
      </x:c>
      <x:c r="E9" s="69" t="n">
        <x:f>COUNTIF('Casos de Prueba'!$B$6:$B$200,D9)</x:f>
        <x:v>8</x:v>
      </x:c>
      <x:c r="F9" s="54"/>
      <x:c r="G9" s="54"/>
      <x:c r="H9" s="54"/>
      <x:c r="I9" s="54"/>
      <x:c r="J9" s="54"/>
      <x:c r="K9" s="54"/>
      <x:c r="L9" s="54"/>
      <x:c r="M9" s="54"/>
      <x:c r="N9" s="54"/>
    </x:row>
    <x:row r="10" ht="28" customHeight="1">
      <x:c r="A10" s="67" t="str">
        <x:v>Bugs encontrados</x:v>
      </x:c>
      <x:c r="B10" s="68" t="n">
        <x:f>COUNTIF('Reporte de Bugs'!$A$6:$A$55,"&lt;&gt;")</x:f>
        <x:v>0</x:v>
      </x:c>
      <x:c r="C10" s="54"/>
      <x:c r="D10" s="69" t="str">
        <x:v>Finalización de compra</x:v>
      </x:c>
      <x:c r="E10" s="69" t="n">
        <x:f>COUNTIF('Casos de Prueba'!$B$6:$B$200,D10)</x:f>
        <x:v>3</x:v>
      </x:c>
      <x:c r="F10" s="54"/>
      <x:c r="G10" s="54"/>
      <x:c r="H10" s="54"/>
      <x:c r="I10" s="54"/>
      <x:c r="J10" s="54"/>
      <x:c r="K10" s="54"/>
      <x:c r="L10" s="54"/>
      <x:c r="M10" s="54"/>
      <x:c r="N10" s="54"/>
    </x:row>
    <x:row r="11" ht="28" customHeight="1">
      <x:c r="A11" s="67" t="str">
        <x:v>Porcentaje de ejecución</x:v>
      </x:c>
      <x:c r="B11" s="70" t="n">
        <x:f>IF(B5=0,0,B6/B5)</x:f>
        <x:v>0</x:v>
      </x:c>
      <x:c r="C11" s="54"/>
      <x:c r="D11" s="69" t="str">
        <x:v>Menú lateral</x:v>
      </x:c>
      <x:c r="E11" s="69" t="n">
        <x:f>COUNTIF('Casos de Prueba'!$B$6:$B$200,D11)</x:f>
        <x:v>5</x:v>
      </x:c>
      <x:c r="F11" s="54"/>
      <x:c r="G11" s="54"/>
      <x:c r="H11" s="54"/>
      <x:c r="I11" s="54"/>
      <x:c r="J11" s="54"/>
      <x:c r="K11" s="54"/>
      <x:c r="L11" s="54"/>
      <x:c r="M11" s="54"/>
      <x:c r="N11" s="54"/>
    </x:row>
    <x:row r="12" ht="28" customHeight="1">
      <x:c r="A12" s="67" t="str">
        <x:v>Porcentaje de aprobación</x:v>
      </x:c>
      <x:c r="B12" s="70" t="n">
        <x:f>IF(B6=0,0,B7/B6)</x:f>
        <x:v>0</x:v>
      </x:c>
      <x:c r="C12" s="54"/>
      <x:c r="D12" s="69" t="str">
        <x:v>Logout</x:v>
      </x:c>
      <x:c r="E12" s="69" t="n">
        <x:f>COUNTIF('Casos de Prueba'!$B$6:$B$200,D12)</x:f>
        <x:v>2</x:v>
      </x:c>
      <x:c r="F12" s="54"/>
      <x:c r="G12" s="54"/>
      <x:c r="H12" s="54"/>
      <x:c r="I12" s="54"/>
      <x:c r="J12" s="54"/>
      <x:c r="K12" s="54"/>
      <x:c r="L12" s="54"/>
      <x:c r="M12" s="54"/>
      <x:c r="N12" s="54"/>
    </x:row>
    <x:row r="13">
      <x:c r="A13" s="54"/>
      <x:c r="B13" s="54"/>
      <x:c r="C13" s="54"/>
      <x:c r="D13" s="54"/>
      <x:c r="E13" s="54"/>
      <x:c r="F13" s="54"/>
      <x:c r="G13" s="54"/>
      <x:c r="H13" s="54"/>
      <x:c r="I13" s="54"/>
      <x:c r="J13" s="54"/>
      <x:c r="K13" s="54"/>
      <x:c r="L13" s="54"/>
      <x:c r="M13" s="54"/>
      <x:c r="N13" s="54"/>
    </x:row>
    <x:row r="14">
      <x:c r="A14" s="54"/>
      <x:c r="B14" s="54"/>
      <x:c r="C14" s="54"/>
      <x:c r="D14" s="54"/>
      <x:c r="E14" s="54"/>
      <x:c r="F14" s="54"/>
      <x:c r="G14" s="54"/>
      <x:c r="H14" s="54"/>
      <x:c r="I14" s="54"/>
      <x:c r="J14" s="54"/>
      <x:c r="K14" s="54"/>
      <x:c r="L14" s="54"/>
      <x:c r="M14" s="54"/>
      <x:c r="N14" s="54"/>
    </x:row>
    <x:row r="15">
      <x:c r="A15" s="62" t="str">
        <x:v>ESTRATEGIA DE PRUEBAS</x:v>
      </x:c>
      <x:c r="B15" s="62"/>
      <x:c r="C15" s="62"/>
      <x:c r="D15" s="62"/>
      <x:c r="E15" s="62"/>
      <x:c r="F15" s="62"/>
      <x:c r="G15" s="62"/>
      <x:c r="H15" s="62"/>
      <x:c r="I15" s="62"/>
      <x:c r="J15" s="62"/>
      <x:c r="K15" s="62"/>
      <x:c r="L15" s="62"/>
      <x:c r="M15" s="62"/>
      <x:c r="N15" s="62"/>
    </x:row>
    <x:row r="16" ht="42" customHeight="1">
      <x:c r="A16" s="71" t="str">
        <x:v>Objetivo</x:v>
      </x:c>
      <x:c r="B16" s="57" t="str">
        <x:v>Validar funcionalmente los flujos disponibles de SauceDemo desde autenticación hasta finalización de compra, con trazabilidad y evidencia reproducible.</x:v>
      </x:c>
      <x:c r="C16" s="54"/>
      <x:c r="D16" s="54"/>
      <x:c r="E16" s="54"/>
      <x:c r="F16" s="54"/>
      <x:c r="G16" s="54"/>
      <x:c r="H16" s="54"/>
      <x:c r="I16" s="54"/>
      <x:c r="J16" s="54"/>
      <x:c r="K16" s="54"/>
      <x:c r="L16" s="54"/>
      <x:c r="M16" s="54"/>
      <x:c r="N16" s="54"/>
    </x:row>
    <x:row r="17" ht="42" customHeight="1">
      <x:c r="A17" s="71" t="str">
        <x:v>Alcance</x:v>
      </x:c>
      <x:c r="B17" s="60" t="str">
        <x:v>Login; Productos; Carrito; Checkout; Resumen de compra; Finalización de compra; Menú lateral; Logout. Incluye enlaces visibles y comprobante PDF como función observada.</x:v>
      </x:c>
      <x:c r="C17" s="54"/>
      <x:c r="D17" s="54"/>
      <x:c r="E17" s="54"/>
      <x:c r="F17" s="54"/>
      <x:c r="G17" s="54"/>
      <x:c r="H17" s="54"/>
      <x:c r="I17" s="54"/>
      <x:c r="J17" s="54"/>
      <x:c r="K17" s="54"/>
      <x:c r="L17" s="54"/>
      <x:c r="M17" s="54"/>
      <x:c r="N17" s="54"/>
    </x:row>
    <x:row r="18" ht="42" customHeight="1">
      <x:c r="A18" s="71" t="str">
        <x:v>Enfoque</x:v>
      </x:c>
      <x:c r="B18" s="60" t="str">
        <x:v>Pruebas manuales funcionales basadas en riesgo, escenarios positivos, negativos y validaciones; standard_user como flujo base y cobertura de acceso para todos los usuarios oficiales.</x:v>
      </x:c>
      <x:c r="C18" s="54"/>
      <x:c r="D18" s="54"/>
      <x:c r="E18" s="54"/>
      <x:c r="F18" s="54"/>
      <x:c r="G18" s="54"/>
      <x:c r="H18" s="54"/>
      <x:c r="I18" s="54"/>
      <x:c r="J18" s="54"/>
      <x:c r="K18" s="54"/>
      <x:c r="L18" s="54"/>
      <x:c r="M18" s="54"/>
      <x:c r="N18" s="54"/>
    </x:row>
    <x:row r="19" ht="42" customHeight="1">
      <x:c r="A19" s="71" t="str">
        <x:v>Entorno</x:v>
      </x:c>
      <x:c r="B19" s="60" t="str">
        <x:v>Google Chrome operativo, conexión estable a Internet y URL productiva pública https://www.saucedemo.com/.</x:v>
      </x:c>
      <x:c r="C19" s="54"/>
      <x:c r="D19" s="54"/>
      <x:c r="E19" s="54"/>
      <x:c r="F19" s="54"/>
      <x:c r="G19" s="54"/>
      <x:c r="H19" s="54"/>
      <x:c r="I19" s="54"/>
      <x:c r="J19" s="54"/>
      <x:c r="K19" s="54"/>
      <x:c r="L19" s="54"/>
      <x:c r="M19" s="54"/>
      <x:c r="N19" s="54"/>
    </x:row>
    <x:row r="20" ht="42" customHeight="1">
      <x:c r="A20" s="71" t="str">
        <x:v>Datos</x:v>
      </x:c>
      <x:c r="B20" s="60" t="str">
        <x:v>Solo usuarios oficiales y contraseña secret_sauce; invalid_user e invalid_password únicamente para validaciones negativas; datos de Checkout reutilizables documentados.</x:v>
      </x:c>
      <x:c r="C20" s="54"/>
      <x:c r="D20" s="54"/>
      <x:c r="E20" s="54"/>
      <x:c r="F20" s="54"/>
      <x:c r="G20" s="54"/>
      <x:c r="H20" s="54"/>
      <x:c r="I20" s="54"/>
      <x:c r="J20" s="54"/>
      <x:c r="K20" s="54"/>
      <x:c r="L20" s="54"/>
      <x:c r="M20" s="54"/>
      <x:c r="N20" s="54"/>
    </x:row>
    <x:row r="21" ht="42" customHeight="1">
      <x:c r="A21" s="71" t="str">
        <x:v>Criterio de entrada</x:v>
      </x:c>
      <x:c r="B21" s="60" t="str">
        <x:v>Sitio disponible, página de Login cargada y navegador operativo.</x:v>
      </x:c>
      <x:c r="C21" s="54"/>
      <x:c r="D21" s="54"/>
      <x:c r="E21" s="54"/>
      <x:c r="F21" s="54"/>
      <x:c r="G21" s="54"/>
      <x:c r="H21" s="54"/>
      <x:c r="I21" s="54"/>
      <x:c r="J21" s="54"/>
      <x:c r="K21" s="54"/>
      <x:c r="L21" s="54"/>
      <x:c r="M21" s="54"/>
      <x:c r="N21" s="54"/>
    </x:row>
    <x:row r="22" ht="42" customHeight="1">
      <x:c r="A22" s="71" t="str">
        <x:v>Criterio de salida</x:v>
      </x:c>
      <x:c r="B22" s="60" t="str">
        <x:v>Casos prioritarios ejecutados, resultados registrados, fallos trazados a Bug ID y ausencia de bloqueos críticos sin gestionar.</x:v>
      </x:c>
      <x:c r="C22" s="54"/>
      <x:c r="D22" s="54"/>
      <x:c r="E22" s="54"/>
      <x:c r="F22" s="54"/>
      <x:c r="G22" s="54"/>
      <x:c r="H22" s="54"/>
      <x:c r="I22" s="54"/>
      <x:c r="J22" s="54"/>
      <x:c r="K22" s="54"/>
      <x:c r="L22" s="54"/>
      <x:c r="M22" s="54"/>
      <x:c r="N22" s="54"/>
    </x:row>
    <x:row r="23" ht="42" customHeight="1">
      <x:c r="A23" s="71" t="str">
        <x:v>Suposiciones</x:v>
      </x:c>
      <x:c r="B23" s="60" t="str">
        <x:v>No se infieren reglas no visibles. Tax se valida con valores observados. Generate PDF order requiere confirmación manual de la descarga. Checkout vacío se documenta según comportamiento observado.</x:v>
      </x:c>
      <x:c r="C23" s="54"/>
      <x:c r="D23" s="54"/>
      <x:c r="E23" s="54"/>
      <x:c r="F23" s="54"/>
      <x:c r="G23" s="54"/>
      <x:c r="H23" s="54"/>
      <x:c r="I23" s="54"/>
      <x:c r="J23" s="54"/>
      <x:c r="K23" s="54"/>
      <x:c r="L23" s="54"/>
      <x:c r="M23" s="54"/>
      <x:c r="N23" s="54"/>
    </x:row>
    <x:row r="24">
      <x:c r="A24" s="54"/>
      <x:c r="B24" s="54"/>
      <x:c r="C24" s="54"/>
      <x:c r="D24" s="54"/>
      <x:c r="E24" s="54"/>
      <x:c r="F24" s="54"/>
      <x:c r="G24" s="54"/>
      <x:c r="H24" s="54"/>
      <x:c r="I24" s="54"/>
      <x:c r="J24" s="54"/>
      <x:c r="K24" s="54"/>
      <x:c r="L24" s="54"/>
      <x:c r="M24" s="54"/>
      <x:c r="N24" s="54"/>
    </x:row>
    <x:row r="25">
      <x:c r="A25" s="62" t="str">
        <x:v>RIESGOS Y RESPUESTA DE PRUEBAS</x:v>
      </x:c>
      <x:c r="B25" s="62"/>
      <x:c r="C25" s="62"/>
      <x:c r="D25" s="62"/>
      <x:c r="E25" s="62"/>
      <x:c r="F25" s="62"/>
      <x:c r="G25" s="54"/>
      <x:c r="H25" s="54"/>
      <x:c r="I25" s="54"/>
      <x:c r="J25" s="54"/>
      <x:c r="K25" s="54"/>
      <x:c r="L25" s="54"/>
      <x:c r="M25" s="54"/>
      <x:c r="N25" s="54"/>
    </x:row>
    <x:row r="26" ht="36" customHeight="1">
      <x:c r="A26" s="55" t="str">
        <x:v>Riesgo ID</x:v>
      </x:c>
      <x:c r="B26" s="55" t="str">
        <x:v>Riesgo</x:v>
      </x:c>
      <x:c r="C26" s="55" t="str">
        <x:v>Impacto</x:v>
      </x:c>
      <x:c r="D26" s="55" t="str">
        <x:v>Probabilidad</x:v>
      </x:c>
      <x:c r="E26" s="55" t="str">
        <x:v>Respuesta / Cobertura</x:v>
      </x:c>
      <x:c r="F26" s="55" t="str">
        <x:v>Casos relacionados</x:v>
      </x:c>
      <x:c r="G26" s="54"/>
      <x:c r="H26" s="54"/>
      <x:c r="I26" s="54"/>
      <x:c r="J26" s="54"/>
      <x:c r="K26" s="54"/>
      <x:c r="L26" s="54"/>
      <x:c r="M26" s="54"/>
      <x:c r="N26" s="54"/>
    </x:row>
    <x:row r="27" ht="52" customHeight="1">
      <x:c r="A27" s="57" t="str">
        <x:v>RSK-001</x:v>
      </x:c>
      <x:c r="B27" s="57" t="str">
        <x:v>Imposibilidad de autenticación para usuarios válidos</x:v>
      </x:c>
      <x:c r="C27" s="57" t="str">
        <x:v>Alto</x:v>
      </x:c>
      <x:c r="D27" s="57" t="str">
        <x:v>Media</x:v>
      </x:c>
      <x:c r="E27" s="57" t="str">
        <x:v>Priorizar acceso standard_user y verificar todos los perfiles oficiales.</x:v>
      </x:c>
      <x:c r="F27" s="57" t="str">
        <x:v>LGN-001 a LGN-005</x:v>
      </x:c>
      <x:c r="G27" s="54"/>
      <x:c r="H27" s="54"/>
      <x:c r="I27" s="54"/>
      <x:c r="J27" s="54"/>
      <x:c r="K27" s="54"/>
      <x:c r="L27" s="54"/>
      <x:c r="M27" s="54"/>
      <x:c r="N27" s="54"/>
    </x:row>
    <x:row r="28" ht="52" customHeight="1">
      <x:c r="A28" s="60" t="str">
        <x:v>RSK-002</x:v>
      </x:c>
      <x:c r="B28" s="60" t="str">
        <x:v>Acceso de usuario bloqueado o credenciales inválidas sin control</x:v>
      </x:c>
      <x:c r="C28" s="60" t="str">
        <x:v>Alto</x:v>
      </x:c>
      <x:c r="D28" s="60" t="str">
        <x:v>Media</x:v>
      </x:c>
      <x:c r="E28" s="60" t="str">
        <x:v>Cobertura negativa y validación literal de mensajes.</x:v>
      </x:c>
      <x:c r="F28" s="60" t="str">
        <x:v>LGN-006 a LGN-010</x:v>
      </x:c>
      <x:c r="G28" s="54"/>
      <x:c r="H28" s="54"/>
      <x:c r="I28" s="54"/>
      <x:c r="J28" s="54"/>
      <x:c r="K28" s="54"/>
      <x:c r="L28" s="54"/>
      <x:c r="M28" s="54"/>
      <x:c r="N28" s="54"/>
    </x:row>
    <x:row r="29" ht="52" customHeight="1">
      <x:c r="A29" s="60" t="str">
        <x:v>RSK-003</x:v>
      </x:c>
      <x:c r="B29" s="60" t="str">
        <x:v>Información, orden o detalle de productos incorrectos</x:v>
      </x:c>
      <x:c r="C29" s="60" t="str">
        <x:v>Medio</x:v>
      </x:c>
      <x:c r="D29" s="60" t="str">
        <x:v>Media</x:v>
      </x:c>
      <x:c r="E29" s="60" t="str">
        <x:v>Validar seis productos, precios, descripciones, cuatro ordenamientos y detalle.</x:v>
      </x:c>
      <x:c r="F29" s="60" t="str">
        <x:v>PRD-001 a PRD-008</x:v>
      </x:c>
      <x:c r="G29" s="54"/>
      <x:c r="H29" s="54"/>
      <x:c r="I29" s="54"/>
      <x:c r="J29" s="54"/>
      <x:c r="K29" s="54"/>
      <x:c r="L29" s="54"/>
      <x:c r="M29" s="54"/>
      <x:c r="N29" s="54"/>
    </x:row>
    <x:row r="30" ht="52" customHeight="1">
      <x:c r="A30" s="60" t="str">
        <x:v>RSK-004</x:v>
      </x:c>
      <x:c r="B30" s="60" t="str">
        <x:v>Pérdida, duplicación o eliminación incorrecta de productos</x:v>
      </x:c>
      <x:c r="C30" s="60" t="str">
        <x:v>Alto</x:v>
      </x:c>
      <x:c r="D30" s="60" t="str">
        <x:v>Alta</x:v>
      </x:c>
      <x:c r="E30" s="60" t="str">
        <x:v>Validar botones Add/Remove, contador, contenido y persistencia.</x:v>
      </x:c>
      <x:c r="F30" s="60" t="str">
        <x:v>PRD-009 a PRD-013; CRT-002 a CRT-004</x:v>
      </x:c>
      <x:c r="G30" s="54"/>
      <x:c r="H30" s="54"/>
      <x:c r="I30" s="54"/>
      <x:c r="J30" s="54"/>
      <x:c r="K30" s="54"/>
      <x:c r="L30" s="54"/>
      <x:c r="M30" s="54"/>
      <x:c r="N30" s="54"/>
    </x:row>
    <x:row r="31" ht="52" customHeight="1">
      <x:c r="A31" s="60" t="str">
        <x:v>RSK-005</x:v>
      </x:c>
      <x:c r="B31" s="60" t="str">
        <x:v>Checkout permite datos incompletos o pierde la compra</x:v>
      </x:c>
      <x:c r="C31" s="60" t="str">
        <x:v>Alto</x:v>
      </x:c>
      <x:c r="D31" s="60" t="str">
        <x:v>Alta</x:v>
      </x:c>
      <x:c r="E31" s="60" t="str">
        <x:v>Validar campos obligatorios, datos válidos, cancelación y contador.</x:v>
      </x:c>
      <x:c r="F31" s="60" t="str">
        <x:v>CHK-001 a CHK-006</x:v>
      </x:c>
      <x:c r="G31" s="54"/>
      <x:c r="H31" s="54"/>
      <x:c r="I31" s="54"/>
      <x:c r="J31" s="54"/>
      <x:c r="K31" s="54"/>
      <x:c r="L31" s="54"/>
      <x:c r="M31" s="54"/>
      <x:c r="N31" s="54"/>
    </x:row>
    <x:row r="32" ht="52" customHeight="1">
      <x:c r="A32" s="60" t="str">
        <x:v>RSK-006</x:v>
      </x:c>
      <x:c r="B32" s="60" t="str">
        <x:v>Totales o información de orden incorrectos</x:v>
      </x:c>
      <x:c r="C32" s="60" t="str">
        <x:v>Alto</x:v>
      </x:c>
      <x:c r="D32" s="60" t="str">
        <x:v>Media</x:v>
      </x:c>
      <x:c r="E32" s="60" t="str">
        <x:v>Reconciliar productos, subtotal, impuesto y total con datos controlados.</x:v>
      </x:c>
      <x:c r="F32" s="60" t="str">
        <x:v>CMP-001 a CMP-006</x:v>
      </x:c>
      <x:c r="G32" s="54"/>
      <x:c r="H32" s="54"/>
      <x:c r="I32" s="54"/>
      <x:c r="J32" s="54"/>
      <x:c r="K32" s="54"/>
      <x:c r="L32" s="54"/>
      <x:c r="M32" s="54"/>
      <x:c r="N32" s="54"/>
    </x:row>
    <x:row r="33" ht="52" customHeight="1">
      <x:c r="A33" s="60" t="str">
        <x:v>RSK-007</x:v>
      </x:c>
      <x:c r="B33" s="60" t="str">
        <x:v>Finalización sin confirmación o sin comprobante verificable</x:v>
      </x:c>
      <x:c r="C33" s="60" t="str">
        <x:v>Alto</x:v>
      </x:c>
      <x:c r="D33" s="60" t="str">
        <x:v>Media</x:v>
      </x:c>
      <x:c r="E33" s="60" t="str">
        <x:v>Validar Finish, mensajes, Back Home y comprobante; documentar limitación de descarga.</x:v>
      </x:c>
      <x:c r="F33" s="60" t="str">
        <x:v>CMP-008; FIN-001 a FIN-003</x:v>
      </x:c>
      <x:c r="G33" s="54"/>
      <x:c r="H33" s="54"/>
      <x:c r="I33" s="54"/>
      <x:c r="J33" s="54"/>
      <x:c r="K33" s="54"/>
      <x:c r="L33" s="54"/>
      <x:c r="M33" s="54"/>
      <x:c r="N33" s="54"/>
    </x:row>
    <x:row r="34" ht="52" customHeight="1">
      <x:c r="A34" s="60" t="str">
        <x:v>RSK-008</x:v>
      </x:c>
      <x:c r="B34" s="60" t="str">
        <x:v>Sesión no cerrada o rutas protegidas expuestas</x:v>
      </x:c>
      <x:c r="C34" s="60" t="str">
        <x:v>Alto</x:v>
      </x:c>
      <x:c r="D34" s="60" t="str">
        <x:v>Media</x:v>
      </x:c>
      <x:c r="E34" s="60" t="str">
        <x:v>Validar Logout y acceso directo posterior.</x:v>
      </x:c>
      <x:c r="F34" s="60" t="str">
        <x:v>LGT-001; LGT-002</x:v>
      </x:c>
      <x:c r="G34" s="54"/>
      <x:c r="H34" s="54"/>
      <x:c r="I34" s="54"/>
      <x:c r="J34" s="54"/>
      <x:c r="K34" s="54"/>
      <x:c r="L34" s="54"/>
      <x:c r="M34" s="54"/>
      <x:c r="N34" s="54"/>
    </x:row>
    <x:row r="35">
      <x:c r="A35" s="54"/>
      <x:c r="B35" s="54"/>
      <x:c r="C35" s="54"/>
      <x:c r="D35" s="54"/>
      <x:c r="E35" s="54"/>
      <x:c r="F35" s="54"/>
      <x:c r="G35" s="54"/>
      <x:c r="H35" s="54"/>
      <x:c r="I35" s="54"/>
      <x:c r="J35" s="54"/>
      <x:c r="K35" s="54"/>
      <x:c r="L35" s="54"/>
      <x:c r="M35" s="54"/>
      <x:c r="N35" s="54"/>
    </x:row>
    <x:row r="36">
      <x:c r="A36" s="62" t="str">
        <x:v>MATRIZ DE COBERTURA Y TRAZABILIDAD</x:v>
      </x:c>
      <x:c r="B36" s="62"/>
      <x:c r="C36" s="62"/>
      <x:c r="D36" s="62"/>
      <x:c r="E36" s="62"/>
      <x:c r="F36" s="62"/>
      <x:c r="G36" s="54"/>
      <x:c r="H36" s="54"/>
      <x:c r="I36" s="54"/>
      <x:c r="J36" s="54"/>
      <x:c r="K36" s="54"/>
      <x:c r="L36" s="54"/>
      <x:c r="M36" s="54"/>
      <x:c r="N36" s="54"/>
    </x:row>
    <x:row r="37" ht="36" customHeight="1">
      <x:c r="A37" s="55" t="str">
        <x:v>Módulo</x:v>
      </x:c>
      <x:c r="B37" s="55" t="str">
        <x:v>Funcionalidad</x:v>
      </x:c>
      <x:c r="C37" s="55" t="str">
        <x:v>Escenario</x:v>
      </x:c>
      <x:c r="D37" s="55" t="str">
        <x:v>Caso de prueba</x:v>
      </x:c>
      <x:c r="E37" s="55" t="str">
        <x:v>Prioridad</x:v>
      </x:c>
      <x:c r="F37" s="55" t="str">
        <x:v>Tipo</x:v>
      </x:c>
      <x:c r="G37" s="54"/>
      <x:c r="H37" s="54"/>
      <x:c r="I37" s="54"/>
      <x:c r="J37" s="54"/>
      <x:c r="K37" s="54"/>
      <x:c r="L37" s="54"/>
      <x:c r="M37" s="54"/>
      <x:c r="N37" s="54"/>
    </x:row>
    <x:row r="38" ht="38" customHeight="1">
      <x:c r="A38" s="57" t="str">
        <x:v>Login</x:v>
      </x:c>
      <x:c r="B38" s="57" t="str">
        <x:v>Autenticación con usuario estándar</x:v>
      </x:c>
      <x:c r="C38" s="57" t="str">
        <x:v>Iniciar sesión con standard_user</x:v>
      </x:c>
      <x:c r="D38" s="57" t="str">
        <x:v>LGN-001</x:v>
      </x:c>
      <x:c r="E38" s="57" t="str">
        <x:v>Alta</x:v>
      </x:c>
      <x:c r="F38" s="57" t="str">
        <x:v>Positiva</x:v>
      </x:c>
      <x:c r="G38" s="54"/>
      <x:c r="H38" s="54"/>
      <x:c r="I38" s="54"/>
      <x:c r="J38" s="54"/>
      <x:c r="K38" s="54"/>
      <x:c r="L38" s="54"/>
      <x:c r="M38" s="54"/>
      <x:c r="N38" s="54"/>
    </x:row>
    <x:row r="39" ht="38" customHeight="1">
      <x:c r="A39" s="60" t="str">
        <x:v>Login</x:v>
      </x:c>
      <x:c r="B39" s="60" t="str">
        <x:v>Autenticación con usuario oficial</x:v>
      </x:c>
      <x:c r="C39" s="60" t="str">
        <x:v>Iniciar sesión con problem_user</x:v>
      </x:c>
      <x:c r="D39" s="60" t="str">
        <x:v>LGN-002</x:v>
      </x:c>
      <x:c r="E39" s="60" t="str">
        <x:v>Media</x:v>
      </x:c>
      <x:c r="F39" s="60" t="str">
        <x:v>Positiva</x:v>
      </x:c>
      <x:c r="G39" s="54"/>
      <x:c r="H39" s="54"/>
      <x:c r="I39" s="54"/>
      <x:c r="J39" s="54"/>
      <x:c r="K39" s="54"/>
      <x:c r="L39" s="54"/>
      <x:c r="M39" s="54"/>
      <x:c r="N39" s="54"/>
    </x:row>
    <x:row r="40" ht="38" customHeight="1">
      <x:c r="A40" s="60" t="str">
        <x:v>Login</x:v>
      </x:c>
      <x:c r="B40" s="60" t="str">
        <x:v>Autenticación con usuario oficial</x:v>
      </x:c>
      <x:c r="C40" s="60" t="str">
        <x:v>Iniciar sesión con performance_glitch_user</x:v>
      </x:c>
      <x:c r="D40" s="60" t="str">
        <x:v>LGN-003</x:v>
      </x:c>
      <x:c r="E40" s="60" t="str">
        <x:v>Media</x:v>
      </x:c>
      <x:c r="F40" s="60" t="str">
        <x:v>Positiva</x:v>
      </x:c>
      <x:c r="G40" s="54"/>
      <x:c r="H40" s="54"/>
      <x:c r="I40" s="54"/>
      <x:c r="J40" s="54"/>
      <x:c r="K40" s="54"/>
      <x:c r="L40" s="54"/>
      <x:c r="M40" s="54"/>
      <x:c r="N40" s="54"/>
    </x:row>
    <x:row r="41" ht="38" customHeight="1">
      <x:c r="A41" s="60" t="str">
        <x:v>Login</x:v>
      </x:c>
      <x:c r="B41" s="60" t="str">
        <x:v>Autenticación con usuario oficial</x:v>
      </x:c>
      <x:c r="C41" s="60" t="str">
        <x:v>Iniciar sesión con error_user</x:v>
      </x:c>
      <x:c r="D41" s="60" t="str">
        <x:v>LGN-004</x:v>
      </x:c>
      <x:c r="E41" s="60" t="str">
        <x:v>Media</x:v>
      </x:c>
      <x:c r="F41" s="60" t="str">
        <x:v>Positiva</x:v>
      </x:c>
      <x:c r="G41" s="54"/>
      <x:c r="H41" s="54"/>
      <x:c r="I41" s="54"/>
      <x:c r="J41" s="54"/>
      <x:c r="K41" s="54"/>
      <x:c r="L41" s="54"/>
      <x:c r="M41" s="54"/>
      <x:c r="N41" s="54"/>
    </x:row>
    <x:row r="42" ht="38" customHeight="1">
      <x:c r="A42" s="60" t="str">
        <x:v>Login</x:v>
      </x:c>
      <x:c r="B42" s="60" t="str">
        <x:v>Autenticación con usuario oficial</x:v>
      </x:c>
      <x:c r="C42" s="60" t="str">
        <x:v>Iniciar sesión con visual_user</x:v>
      </x:c>
      <x:c r="D42" s="60" t="str">
        <x:v>LGN-005</x:v>
      </x:c>
      <x:c r="E42" s="60" t="str">
        <x:v>Media</x:v>
      </x:c>
      <x:c r="F42" s="60" t="str">
        <x:v>Positiva</x:v>
      </x:c>
      <x:c r="G42" s="54"/>
      <x:c r="H42" s="54"/>
      <x:c r="I42" s="54"/>
      <x:c r="J42" s="54"/>
      <x:c r="K42" s="54"/>
      <x:c r="L42" s="54"/>
      <x:c r="M42" s="54"/>
      <x:c r="N42" s="54"/>
    </x:row>
    <x:row r="43" ht="38" customHeight="1">
      <x:c r="A43" s="60" t="str">
        <x:v>Login</x:v>
      </x:c>
      <x:c r="B43" s="60" t="str">
        <x:v>Restricción de usuario bloqueado</x:v>
      </x:c>
      <x:c r="C43" s="60" t="str">
        <x:v>Intentar iniciar sesión con locked_out_user</x:v>
      </x:c>
      <x:c r="D43" s="60" t="str">
        <x:v>LGN-006</x:v>
      </x:c>
      <x:c r="E43" s="60" t="str">
        <x:v>Alta</x:v>
      </x:c>
      <x:c r="F43" s="60" t="str">
        <x:v>Negativa</x:v>
      </x:c>
      <x:c r="G43" s="54"/>
      <x:c r="H43" s="54"/>
      <x:c r="I43" s="54"/>
      <x:c r="J43" s="54"/>
      <x:c r="K43" s="54"/>
      <x:c r="L43" s="54"/>
      <x:c r="M43" s="54"/>
      <x:c r="N43" s="54"/>
    </x:row>
    <x:row r="44" ht="38" customHeight="1">
      <x:c r="A44" s="60" t="str">
        <x:v>Login</x:v>
      </x:c>
      <x:c r="B44" s="60" t="str">
        <x:v>Validación de campos obligatorios</x:v>
      </x:c>
      <x:c r="C44" s="60" t="str">
        <x:v>Intentar iniciar sesión sin Username ni Password</x:v>
      </x:c>
      <x:c r="D44" s="60" t="str">
        <x:v>LGN-007</x:v>
      </x:c>
      <x:c r="E44" s="60" t="str">
        <x:v>Alta</x:v>
      </x:c>
      <x:c r="F44" s="60" t="str">
        <x:v>Negativa</x:v>
      </x:c>
      <x:c r="G44" s="54"/>
      <x:c r="H44" s="54"/>
      <x:c r="I44" s="54"/>
      <x:c r="J44" s="54"/>
      <x:c r="K44" s="54"/>
      <x:c r="L44" s="54"/>
      <x:c r="M44" s="54"/>
      <x:c r="N44" s="54"/>
    </x:row>
    <x:row r="45" ht="38" customHeight="1">
      <x:c r="A45" s="60" t="str">
        <x:v>Login</x:v>
      </x:c>
      <x:c r="B45" s="60" t="str">
        <x:v>Validación de campos obligatorios</x:v>
      </x:c>
      <x:c r="C45" s="60" t="str">
        <x:v>Intentar iniciar sesión sin Password</x:v>
      </x:c>
      <x:c r="D45" s="60" t="str">
        <x:v>LGN-008</x:v>
      </x:c>
      <x:c r="E45" s="60" t="str">
        <x:v>Alta</x:v>
      </x:c>
      <x:c r="F45" s="60" t="str">
        <x:v>Negativa</x:v>
      </x:c>
      <x:c r="G45" s="54"/>
      <x:c r="H45" s="54"/>
      <x:c r="I45" s="54"/>
      <x:c r="J45" s="54"/>
      <x:c r="K45" s="54"/>
      <x:c r="L45" s="54"/>
      <x:c r="M45" s="54"/>
      <x:c r="N45" s="54"/>
    </x:row>
    <x:row r="46" ht="38" customHeight="1">
      <x:c r="A46" s="60" t="str">
        <x:v>Login</x:v>
      </x:c>
      <x:c r="B46" s="60" t="str">
        <x:v>Validación de credenciales</x:v>
      </x:c>
      <x:c r="C46" s="60" t="str">
        <x:v>Intentar iniciar sesión con credenciales inválidas</x:v>
      </x:c>
      <x:c r="D46" s="60" t="str">
        <x:v>LGN-009</x:v>
      </x:c>
      <x:c r="E46" s="60" t="str">
        <x:v>Alta</x:v>
      </x:c>
      <x:c r="F46" s="60" t="str">
        <x:v>Negativa</x:v>
      </x:c>
      <x:c r="G46" s="54"/>
      <x:c r="H46" s="54"/>
      <x:c r="I46" s="54"/>
      <x:c r="J46" s="54"/>
      <x:c r="K46" s="54"/>
      <x:c r="L46" s="54"/>
      <x:c r="M46" s="54"/>
      <x:c r="N46" s="54"/>
    </x:row>
    <x:row r="47" ht="38" customHeight="1">
      <x:c r="A47" s="60" t="str">
        <x:v>Login</x:v>
      </x:c>
      <x:c r="B47" s="60" t="str">
        <x:v>Validación de contraseña</x:v>
      </x:c>
      <x:c r="C47" s="60" t="str">
        <x:v>Intentar iniciar sesión con usuario oficial y contraseña inválida</x:v>
      </x:c>
      <x:c r="D47" s="60" t="str">
        <x:v>LGN-010</x:v>
      </x:c>
      <x:c r="E47" s="60" t="str">
        <x:v>Alta</x:v>
      </x:c>
      <x:c r="F47" s="60" t="str">
        <x:v>Negativa</x:v>
      </x:c>
      <x:c r="G47" s="54"/>
      <x:c r="H47" s="54"/>
      <x:c r="I47" s="54"/>
      <x:c r="J47" s="54"/>
      <x:c r="K47" s="54"/>
      <x:c r="L47" s="54"/>
      <x:c r="M47" s="54"/>
      <x:c r="N47" s="54"/>
    </x:row>
    <x:row r="48" ht="38" customHeight="1">
      <x:c r="A48" s="60" t="str">
        <x:v>Login</x:v>
      </x:c>
      <x:c r="B48" s="60" t="str">
        <x:v>Gestión de mensajes de error</x:v>
      </x:c>
      <x:c r="C48" s="60" t="str">
        <x:v>Cerrar un mensaje de error de Login</x:v>
      </x:c>
      <x:c r="D48" s="60" t="str">
        <x:v>LGN-011</x:v>
      </x:c>
      <x:c r="E48" s="60" t="str">
        <x:v>Baja</x:v>
      </x:c>
      <x:c r="F48" s="60" t="str">
        <x:v>Validación</x:v>
      </x:c>
      <x:c r="G48" s="54"/>
      <x:c r="H48" s="54"/>
      <x:c r="I48" s="54"/>
      <x:c r="J48" s="54"/>
      <x:c r="K48" s="54"/>
      <x:c r="L48" s="54"/>
      <x:c r="M48" s="54"/>
      <x:c r="N48" s="54"/>
    </x:row>
    <x:row r="49" ht="38" customHeight="1">
      <x:c r="A49" s="60" t="str">
        <x:v>Productos</x:v>
      </x:c>
      <x:c r="B49" s="60" t="str">
        <x:v>Catálogo de productos</x:v>
      </x:c>
      <x:c r="C49" s="60" t="str">
        <x:v>Validar información completa del catálogo</x:v>
      </x:c>
      <x:c r="D49" s="60" t="str">
        <x:v>PRD-001</x:v>
      </x:c>
      <x:c r="E49" s="60" t="str">
        <x:v>Alta</x:v>
      </x:c>
      <x:c r="F49" s="60" t="str">
        <x:v>Validación</x:v>
      </x:c>
      <x:c r="G49" s="54"/>
      <x:c r="H49" s="54"/>
      <x:c r="I49" s="54"/>
      <x:c r="J49" s="54"/>
      <x:c r="K49" s="54"/>
      <x:c r="L49" s="54"/>
      <x:c r="M49" s="54"/>
      <x:c r="N49" s="54"/>
    </x:row>
    <x:row r="50" ht="38" customHeight="1">
      <x:c r="A50" s="60" t="str">
        <x:v>Productos</x:v>
      </x:c>
      <x:c r="B50" s="60" t="str">
        <x:v>Ordenamiento del catálogo</x:v>
      </x:c>
      <x:c r="C50" s="60" t="str">
        <x:v>Ordenar productos por nombre de A a Z</x:v>
      </x:c>
      <x:c r="D50" s="60" t="str">
        <x:v>PRD-002</x:v>
      </x:c>
      <x:c r="E50" s="60" t="str">
        <x:v>Media</x:v>
      </x:c>
      <x:c r="F50" s="60" t="str">
        <x:v>Validación</x:v>
      </x:c>
      <x:c r="G50" s="54"/>
      <x:c r="H50" s="54"/>
      <x:c r="I50" s="54"/>
      <x:c r="J50" s="54"/>
      <x:c r="K50" s="54"/>
      <x:c r="L50" s="54"/>
      <x:c r="M50" s="54"/>
      <x:c r="N50" s="54"/>
    </x:row>
    <x:row r="51" ht="38" customHeight="1">
      <x:c r="A51" s="60" t="str">
        <x:v>Productos</x:v>
      </x:c>
      <x:c r="B51" s="60" t="str">
        <x:v>Ordenamiento del catálogo</x:v>
      </x:c>
      <x:c r="C51" s="60" t="str">
        <x:v>Ordenar productos por nombre de Z a A</x:v>
      </x:c>
      <x:c r="D51" s="60" t="str">
        <x:v>PRD-003</x:v>
      </x:c>
      <x:c r="E51" s="60" t="str">
        <x:v>Media</x:v>
      </x:c>
      <x:c r="F51" s="60" t="str">
        <x:v>Validación</x:v>
      </x:c>
      <x:c r="G51" s="54"/>
      <x:c r="H51" s="54"/>
      <x:c r="I51" s="54"/>
      <x:c r="J51" s="54"/>
      <x:c r="K51" s="54"/>
      <x:c r="L51" s="54"/>
      <x:c r="M51" s="54"/>
      <x:c r="N51" s="54"/>
    </x:row>
    <x:row r="52" ht="38" customHeight="1">
      <x:c r="A52" s="60" t="str">
        <x:v>Productos</x:v>
      </x:c>
      <x:c r="B52" s="60" t="str">
        <x:v>Ordenamiento del catálogo</x:v>
      </x:c>
      <x:c r="C52" s="60" t="str">
        <x:v>Ordenar productos por precio ascendente</x:v>
      </x:c>
      <x:c r="D52" s="60" t="str">
        <x:v>PRD-004</x:v>
      </x:c>
      <x:c r="E52" s="60" t="str">
        <x:v>Media</x:v>
      </x:c>
      <x:c r="F52" s="60" t="str">
        <x:v>Validación</x:v>
      </x:c>
      <x:c r="G52" s="54"/>
      <x:c r="H52" s="54"/>
      <x:c r="I52" s="54"/>
      <x:c r="J52" s="54"/>
      <x:c r="K52" s="54"/>
      <x:c r="L52" s="54"/>
      <x:c r="M52" s="54"/>
      <x:c r="N52" s="54"/>
    </x:row>
    <x:row r="53" ht="38" customHeight="1">
      <x:c r="A53" s="60" t="str">
        <x:v>Productos</x:v>
      </x:c>
      <x:c r="B53" s="60" t="str">
        <x:v>Ordenamiento del catálogo</x:v>
      </x:c>
      <x:c r="C53" s="60" t="str">
        <x:v>Ordenar productos por precio descendente</x:v>
      </x:c>
      <x:c r="D53" s="60" t="str">
        <x:v>PRD-005</x:v>
      </x:c>
      <x:c r="E53" s="60" t="str">
        <x:v>Media</x:v>
      </x:c>
      <x:c r="F53" s="60" t="str">
        <x:v>Validación</x:v>
      </x:c>
      <x:c r="G53" s="54"/>
      <x:c r="H53" s="54"/>
      <x:c r="I53" s="54"/>
      <x:c r="J53" s="54"/>
      <x:c r="K53" s="54"/>
      <x:c r="L53" s="54"/>
      <x:c r="M53" s="54"/>
      <x:c r="N53" s="54"/>
    </x:row>
    <x:row r="54" ht="38" customHeight="1">
      <x:c r="A54" s="60" t="str">
        <x:v>Productos</x:v>
      </x:c>
      <x:c r="B54" s="60" t="str">
        <x:v>Detalle de producto</x:v>
      </x:c>
      <x:c r="C54" s="60" t="str">
        <x:v>Abrir el detalle mediante el nombre del producto</x:v>
      </x:c>
      <x:c r="D54" s="60" t="str">
        <x:v>PRD-006</x:v>
      </x:c>
      <x:c r="E54" s="60" t="str">
        <x:v>Alta</x:v>
      </x:c>
      <x:c r="F54" s="60" t="str">
        <x:v>Positiva</x:v>
      </x:c>
      <x:c r="G54" s="54"/>
      <x:c r="H54" s="54"/>
      <x:c r="I54" s="54"/>
      <x:c r="J54" s="54"/>
      <x:c r="K54" s="54"/>
      <x:c r="L54" s="54"/>
      <x:c r="M54" s="54"/>
      <x:c r="N54" s="54"/>
    </x:row>
    <x:row r="55" ht="38" customHeight="1">
      <x:c r="A55" s="60" t="str">
        <x:v>Productos</x:v>
      </x:c>
      <x:c r="B55" s="60" t="str">
        <x:v>Detalle de producto</x:v>
      </x:c>
      <x:c r="C55" s="60" t="str">
        <x:v>Abrir el detalle mediante la imagen del producto</x:v>
      </x:c>
      <x:c r="D55" s="60" t="str">
        <x:v>PRD-007</x:v>
      </x:c>
      <x:c r="E55" s="60" t="str">
        <x:v>Media</x:v>
      </x:c>
      <x:c r="F55" s="60" t="str">
        <x:v>Positiva</x:v>
      </x:c>
      <x:c r="G55" s="54"/>
      <x:c r="H55" s="54"/>
      <x:c r="I55" s="54"/>
      <x:c r="J55" s="54"/>
      <x:c r="K55" s="54"/>
      <x:c r="L55" s="54"/>
      <x:c r="M55" s="54"/>
      <x:c r="N55" s="54"/>
    </x:row>
    <x:row r="56" ht="38" customHeight="1">
      <x:c r="A56" s="60" t="str">
        <x:v>Productos</x:v>
      </x:c>
      <x:c r="B56" s="60" t="str">
        <x:v>Navegación desde detalle</x:v>
      </x:c>
      <x:c r="C56" s="60" t="str">
        <x:v>Regresar al catálogo desde el detalle</x:v>
      </x:c>
      <x:c r="D56" s="60" t="str">
        <x:v>PRD-008</x:v>
      </x:c>
      <x:c r="E56" s="60" t="str">
        <x:v>Media</x:v>
      </x:c>
      <x:c r="F56" s="60" t="str">
        <x:v>Positiva</x:v>
      </x:c>
      <x:c r="G56" s="54"/>
      <x:c r="H56" s="54"/>
      <x:c r="I56" s="54"/>
      <x:c r="J56" s="54"/>
      <x:c r="K56" s="54"/>
      <x:c r="L56" s="54"/>
      <x:c r="M56" s="54"/>
      <x:c r="N56" s="54"/>
    </x:row>
    <x:row r="57" ht="38" customHeight="1">
      <x:c r="A57" s="60" t="str">
        <x:v>Productos</x:v>
      </x:c>
      <x:c r="B57" s="60" t="str">
        <x:v>Gestión de producto desde catálogo</x:v>
      </x:c>
      <x:c r="C57" s="60" t="str">
        <x:v>Agregar un producto desde el catálogo</x:v>
      </x:c>
      <x:c r="D57" s="60" t="str">
        <x:v>PRD-009</x:v>
      </x:c>
      <x:c r="E57" s="60" t="str">
        <x:v>Alta</x:v>
      </x:c>
      <x:c r="F57" s="60" t="str">
        <x:v>Positiva</x:v>
      </x:c>
      <x:c r="G57" s="54"/>
      <x:c r="H57" s="54"/>
      <x:c r="I57" s="54"/>
      <x:c r="J57" s="54"/>
      <x:c r="K57" s="54"/>
      <x:c r="L57" s="54"/>
      <x:c r="M57" s="54"/>
      <x:c r="N57" s="54"/>
    </x:row>
    <x:row r="58" ht="38" customHeight="1">
      <x:c r="A58" s="60" t="str">
        <x:v>Productos</x:v>
      </x:c>
      <x:c r="B58" s="60" t="str">
        <x:v>Gestión de producto desde catálogo</x:v>
      </x:c>
      <x:c r="C58" s="60" t="str">
        <x:v>Retirar un producto desde el catálogo</x:v>
      </x:c>
      <x:c r="D58" s="60" t="str">
        <x:v>PRD-010</x:v>
      </x:c>
      <x:c r="E58" s="60" t="str">
        <x:v>Alta</x:v>
      </x:c>
      <x:c r="F58" s="60" t="str">
        <x:v>Positiva</x:v>
      </x:c>
      <x:c r="G58" s="54"/>
      <x:c r="H58" s="54"/>
      <x:c r="I58" s="54"/>
      <x:c r="J58" s="54"/>
      <x:c r="K58" s="54"/>
      <x:c r="L58" s="54"/>
      <x:c r="M58" s="54"/>
      <x:c r="N58" s="54"/>
    </x:row>
    <x:row r="59" ht="38" customHeight="1">
      <x:c r="A59" s="60" t="str">
        <x:v>Productos</x:v>
      </x:c>
      <x:c r="B59" s="60" t="str">
        <x:v>Gestión de producto desde detalle</x:v>
      </x:c>
      <x:c r="C59" s="60" t="str">
        <x:v>Agregar un producto desde el detalle</x:v>
      </x:c>
      <x:c r="D59" s="60" t="str">
        <x:v>PRD-011</x:v>
      </x:c>
      <x:c r="E59" s="60" t="str">
        <x:v>Alta</x:v>
      </x:c>
      <x:c r="F59" s="60" t="str">
        <x:v>Positiva</x:v>
      </x:c>
      <x:c r="G59" s="54"/>
      <x:c r="H59" s="54"/>
      <x:c r="I59" s="54"/>
      <x:c r="J59" s="54"/>
      <x:c r="K59" s="54"/>
      <x:c r="L59" s="54"/>
      <x:c r="M59" s="54"/>
      <x:c r="N59" s="54"/>
    </x:row>
    <x:row r="60" ht="38" customHeight="1">
      <x:c r="A60" s="60" t="str">
        <x:v>Productos</x:v>
      </x:c>
      <x:c r="B60" s="60" t="str">
        <x:v>Gestión de producto desde detalle</x:v>
      </x:c>
      <x:c r="C60" s="60" t="str">
        <x:v>Retirar un producto desde el detalle</x:v>
      </x:c>
      <x:c r="D60" s="60" t="str">
        <x:v>PRD-012</x:v>
      </x:c>
      <x:c r="E60" s="60" t="str">
        <x:v>Alta</x:v>
      </x:c>
      <x:c r="F60" s="60" t="str">
        <x:v>Positiva</x:v>
      </x:c>
      <x:c r="G60" s="54"/>
      <x:c r="H60" s="54"/>
      <x:c r="I60" s="54"/>
      <x:c r="J60" s="54"/>
      <x:c r="K60" s="54"/>
      <x:c r="L60" s="54"/>
      <x:c r="M60" s="54"/>
      <x:c r="N60" s="54"/>
    </x:row>
    <x:row r="61" ht="38" customHeight="1">
      <x:c r="A61" s="60" t="str">
        <x:v>Productos</x:v>
      </x:c>
      <x:c r="B61" s="60" t="str">
        <x:v>Control de duplicidad en carrito</x:v>
      </x:c>
      <x:c r="C61" s="60" t="str">
        <x:v>Validar que un producto no pueda agregarse dos veces</x:v>
      </x:c>
      <x:c r="D61" s="60" t="str">
        <x:v>PRD-013</x:v>
      </x:c>
      <x:c r="E61" s="60" t="str">
        <x:v>Media</x:v>
      </x:c>
      <x:c r="F61" s="60" t="str">
        <x:v>Validación</x:v>
      </x:c>
      <x:c r="G61" s="54"/>
      <x:c r="H61" s="54"/>
      <x:c r="I61" s="54"/>
      <x:c r="J61" s="54"/>
      <x:c r="K61" s="54"/>
      <x:c r="L61" s="54"/>
      <x:c r="M61" s="54"/>
      <x:c r="N61" s="54"/>
    </x:row>
    <x:row r="62" ht="38" customHeight="1">
      <x:c r="A62" s="60" t="str">
        <x:v>Productos</x:v>
      </x:c>
      <x:c r="B62" s="60" t="str">
        <x:v>Enlaces del pie de página</x:v>
      </x:c>
      <x:c r="C62" s="60" t="str">
        <x:v>Abrir el enlace de Twitter</x:v>
      </x:c>
      <x:c r="D62" s="60" t="str">
        <x:v>PRD-014</x:v>
      </x:c>
      <x:c r="E62" s="60" t="str">
        <x:v>Baja</x:v>
      </x:c>
      <x:c r="F62" s="60" t="str">
        <x:v>Validación</x:v>
      </x:c>
      <x:c r="G62" s="54"/>
      <x:c r="H62" s="54"/>
      <x:c r="I62" s="54"/>
      <x:c r="J62" s="54"/>
      <x:c r="K62" s="54"/>
      <x:c r="L62" s="54"/>
      <x:c r="M62" s="54"/>
      <x:c r="N62" s="54"/>
    </x:row>
    <x:row r="63" ht="38" customHeight="1">
      <x:c r="A63" s="60" t="str">
        <x:v>Productos</x:v>
      </x:c>
      <x:c r="B63" s="60" t="str">
        <x:v>Enlaces del pie de página</x:v>
      </x:c>
      <x:c r="C63" s="60" t="str">
        <x:v>Abrir el enlace de Facebook</x:v>
      </x:c>
      <x:c r="D63" s="60" t="str">
        <x:v>PRD-015</x:v>
      </x:c>
      <x:c r="E63" s="60" t="str">
        <x:v>Baja</x:v>
      </x:c>
      <x:c r="F63" s="60" t="str">
        <x:v>Validación</x:v>
      </x:c>
      <x:c r="G63" s="54"/>
      <x:c r="H63" s="54"/>
      <x:c r="I63" s="54"/>
      <x:c r="J63" s="54"/>
      <x:c r="K63" s="54"/>
      <x:c r="L63" s="54"/>
      <x:c r="M63" s="54"/>
      <x:c r="N63" s="54"/>
    </x:row>
    <x:row r="64" ht="38" customHeight="1">
      <x:c r="A64" s="60" t="str">
        <x:v>Productos</x:v>
      </x:c>
      <x:c r="B64" s="60" t="str">
        <x:v>Enlaces del pie de página</x:v>
      </x:c>
      <x:c r="C64" s="60" t="str">
        <x:v>Abrir el enlace de LinkedIn</x:v>
      </x:c>
      <x:c r="D64" s="60" t="str">
        <x:v>PRD-016</x:v>
      </x:c>
      <x:c r="E64" s="60" t="str">
        <x:v>Baja</x:v>
      </x:c>
      <x:c r="F64" s="60" t="str">
        <x:v>Validación</x:v>
      </x:c>
      <x:c r="G64" s="54"/>
      <x:c r="H64" s="54"/>
      <x:c r="I64" s="54"/>
      <x:c r="J64" s="54"/>
      <x:c r="K64" s="54"/>
      <x:c r="L64" s="54"/>
      <x:c r="M64" s="54"/>
      <x:c r="N64" s="54"/>
    </x:row>
    <x:row r="65" ht="38" customHeight="1">
      <x:c r="A65" s="60" t="str">
        <x:v>Carrito</x:v>
      </x:c>
      <x:c r="B65" s="60" t="str">
        <x:v>Visualización de carrito vacío</x:v>
      </x:c>
      <x:c r="C65" s="60" t="str">
        <x:v>Abrir el carrito sin productos</x:v>
      </x:c>
      <x:c r="D65" s="60" t="str">
        <x:v>CRT-001</x:v>
      </x:c>
      <x:c r="E65" s="60" t="str">
        <x:v>Media</x:v>
      </x:c>
      <x:c r="F65" s="60" t="str">
        <x:v>Validación</x:v>
      </x:c>
      <x:c r="G65" s="54"/>
      <x:c r="H65" s="54"/>
      <x:c r="I65" s="54"/>
      <x:c r="J65" s="54"/>
      <x:c r="K65" s="54"/>
      <x:c r="L65" s="54"/>
      <x:c r="M65" s="54"/>
      <x:c r="N65" s="54"/>
    </x:row>
    <x:row r="66" ht="38" customHeight="1">
      <x:c r="A66" s="60" t="str">
        <x:v>Carrito</x:v>
      </x:c>
      <x:c r="B66" s="60" t="str">
        <x:v>Contenido del carrito</x:v>
      </x:c>
      <x:c r="C66" s="60" t="str">
        <x:v>Validar dos productos agregados</x:v>
      </x:c>
      <x:c r="D66" s="60" t="str">
        <x:v>CRT-002</x:v>
      </x:c>
      <x:c r="E66" s="60" t="str">
        <x:v>Alta</x:v>
      </x:c>
      <x:c r="F66" s="60" t="str">
        <x:v>Validación</x:v>
      </x:c>
      <x:c r="G66" s="54"/>
      <x:c r="H66" s="54"/>
      <x:c r="I66" s="54"/>
      <x:c r="J66" s="54"/>
      <x:c r="K66" s="54"/>
      <x:c r="L66" s="54"/>
      <x:c r="M66" s="54"/>
      <x:c r="N66" s="54"/>
    </x:row>
    <x:row r="67" ht="38" customHeight="1">
      <x:c r="A67" s="60" t="str">
        <x:v>Carrito</x:v>
      </x:c>
      <x:c r="B67" s="60" t="str">
        <x:v>Contador del carrito</x:v>
      </x:c>
      <x:c r="C67" s="60" t="str">
        <x:v>Validar contador con múltiples productos</x:v>
      </x:c>
      <x:c r="D67" s="60" t="str">
        <x:v>CRT-003</x:v>
      </x:c>
      <x:c r="E67" s="60" t="str">
        <x:v>Alta</x:v>
      </x:c>
      <x:c r="F67" s="60" t="str">
        <x:v>Validación</x:v>
      </x:c>
      <x:c r="G67" s="54"/>
      <x:c r="H67" s="54"/>
      <x:c r="I67" s="54"/>
      <x:c r="J67" s="54"/>
      <x:c r="K67" s="54"/>
      <x:c r="L67" s="54"/>
      <x:c r="M67" s="54"/>
      <x:c r="N67" s="54"/>
    </x:row>
    <x:row r="68" ht="38" customHeight="1">
      <x:c r="A68" s="60" t="str">
        <x:v>Carrito</x:v>
      </x:c>
      <x:c r="B68" s="60" t="str">
        <x:v>Eliminación de productos</x:v>
      </x:c>
      <x:c r="C68" s="60" t="str">
        <x:v>Eliminar un producto conservando otro</x:v>
      </x:c>
      <x:c r="D68" s="60" t="str">
        <x:v>CRT-004</x:v>
      </x:c>
      <x:c r="E68" s="60" t="str">
        <x:v>Alta</x:v>
      </x:c>
      <x:c r="F68" s="60" t="str">
        <x:v>Positiva</x:v>
      </x:c>
      <x:c r="G68" s="54"/>
      <x:c r="H68" s="54"/>
      <x:c r="I68" s="54"/>
      <x:c r="J68" s="54"/>
      <x:c r="K68" s="54"/>
      <x:c r="L68" s="54"/>
      <x:c r="M68" s="54"/>
      <x:c r="N68" s="54"/>
    </x:row>
    <x:row r="69" ht="38" customHeight="1">
      <x:c r="A69" s="60" t="str">
        <x:v>Carrito</x:v>
      </x:c>
      <x:c r="B69" s="60" t="str">
        <x:v>Navegación a catálogo</x:v>
      </x:c>
      <x:c r="C69" s="60" t="str">
        <x:v>Continuar comprando desde el carrito</x:v>
      </x:c>
      <x:c r="D69" s="60" t="str">
        <x:v>CRT-005</x:v>
      </x:c>
      <x:c r="E69" s="60" t="str">
        <x:v>Media</x:v>
      </x:c>
      <x:c r="F69" s="60" t="str">
        <x:v>Positiva</x:v>
      </x:c>
      <x:c r="G69" s="54"/>
      <x:c r="H69" s="54"/>
      <x:c r="I69" s="54"/>
      <x:c r="J69" s="54"/>
      <x:c r="K69" s="54"/>
      <x:c r="L69" s="54"/>
      <x:c r="M69" s="54"/>
      <x:c r="N69" s="54"/>
    </x:row>
    <x:row r="70" ht="38" customHeight="1">
      <x:c r="A70" s="60" t="str">
        <x:v>Carrito</x:v>
      </x:c>
      <x:c r="B70" s="60" t="str">
        <x:v>Inicio de checkout</x:v>
      </x:c>
      <x:c r="C70" s="60" t="str">
        <x:v>Iniciar checkout con productos en el carrito</x:v>
      </x:c>
      <x:c r="D70" s="60" t="str">
        <x:v>CRT-006</x:v>
      </x:c>
      <x:c r="E70" s="60" t="str">
        <x:v>Alta</x:v>
      </x:c>
      <x:c r="F70" s="60" t="str">
        <x:v>Positiva</x:v>
      </x:c>
      <x:c r="G70" s="54"/>
      <x:c r="H70" s="54"/>
      <x:c r="I70" s="54"/>
      <x:c r="J70" s="54"/>
      <x:c r="K70" s="54"/>
      <x:c r="L70" s="54"/>
      <x:c r="M70" s="54"/>
      <x:c r="N70" s="54"/>
    </x:row>
    <x:row r="71" ht="38" customHeight="1">
      <x:c r="A71" s="60" t="str">
        <x:v>Carrito</x:v>
      </x:c>
      <x:c r="B71" s="60" t="str">
        <x:v>Inicio de checkout</x:v>
      </x:c>
      <x:c r="C71" s="60" t="str">
        <x:v>Iniciar checkout con carrito vacío</x:v>
      </x:c>
      <x:c r="D71" s="60" t="str">
        <x:v>CRT-007</x:v>
      </x:c>
      <x:c r="E71" s="60" t="str">
        <x:v>Media</x:v>
      </x:c>
      <x:c r="F71" s="60" t="str">
        <x:v>Validación</x:v>
      </x:c>
      <x:c r="G71" s="54"/>
      <x:c r="H71" s="54"/>
      <x:c r="I71" s="54"/>
      <x:c r="J71" s="54"/>
      <x:c r="K71" s="54"/>
      <x:c r="L71" s="54"/>
      <x:c r="M71" s="54"/>
      <x:c r="N71" s="54"/>
    </x:row>
    <x:row r="72" ht="38" customHeight="1">
      <x:c r="A72" s="60" t="str">
        <x:v>Checkout</x:v>
      </x:c>
      <x:c r="B72" s="60" t="str">
        <x:v>Validación de datos personales</x:v>
      </x:c>
      <x:c r="C72" s="60" t="str">
        <x:v>Continuar sin ingresar First Name</x:v>
      </x:c>
      <x:c r="D72" s="60" t="str">
        <x:v>CHK-001</x:v>
      </x:c>
      <x:c r="E72" s="60" t="str">
        <x:v>Alta</x:v>
      </x:c>
      <x:c r="F72" s="60" t="str">
        <x:v>Negativa</x:v>
      </x:c>
      <x:c r="G72" s="54"/>
      <x:c r="H72" s="54"/>
      <x:c r="I72" s="54"/>
      <x:c r="J72" s="54"/>
      <x:c r="K72" s="54"/>
      <x:c r="L72" s="54"/>
      <x:c r="M72" s="54"/>
      <x:c r="N72" s="54"/>
    </x:row>
    <x:row r="73" ht="38" customHeight="1">
      <x:c r="A73" s="60" t="str">
        <x:v>Checkout</x:v>
      </x:c>
      <x:c r="B73" s="60" t="str">
        <x:v>Validación de datos personales</x:v>
      </x:c>
      <x:c r="C73" s="60" t="str">
        <x:v>Continuar sin ingresar Last Name</x:v>
      </x:c>
      <x:c r="D73" s="60" t="str">
        <x:v>CHK-002</x:v>
      </x:c>
      <x:c r="E73" s="60" t="str">
        <x:v>Alta</x:v>
      </x:c>
      <x:c r="F73" s="60" t="str">
        <x:v>Negativa</x:v>
      </x:c>
      <x:c r="G73" s="54"/>
      <x:c r="H73" s="54"/>
      <x:c r="I73" s="54"/>
      <x:c r="J73" s="54"/>
      <x:c r="K73" s="54"/>
      <x:c r="L73" s="54"/>
      <x:c r="M73" s="54"/>
      <x:c r="N73" s="54"/>
    </x:row>
    <x:row r="74" ht="38" customHeight="1">
      <x:c r="A74" s="60" t="str">
        <x:v>Checkout</x:v>
      </x:c>
      <x:c r="B74" s="60" t="str">
        <x:v>Validación de datos personales</x:v>
      </x:c>
      <x:c r="C74" s="60" t="str">
        <x:v>Continuar sin ingresar Zip/Postal Code</x:v>
      </x:c>
      <x:c r="D74" s="60" t="str">
        <x:v>CHK-003</x:v>
      </x:c>
      <x:c r="E74" s="60" t="str">
        <x:v>Alta</x:v>
      </x:c>
      <x:c r="F74" s="60" t="str">
        <x:v>Negativa</x:v>
      </x:c>
      <x:c r="G74" s="54"/>
      <x:c r="H74" s="54"/>
      <x:c r="I74" s="54"/>
      <x:c r="J74" s="54"/>
      <x:c r="K74" s="54"/>
      <x:c r="L74" s="54"/>
      <x:c r="M74" s="54"/>
      <x:c r="N74" s="54"/>
    </x:row>
    <x:row r="75" ht="38" customHeight="1">
      <x:c r="A75" s="60" t="str">
        <x:v>Checkout</x:v>
      </x:c>
      <x:c r="B75" s="60" t="str">
        <x:v>Registro de información del comprador</x:v>
      </x:c>
      <x:c r="C75" s="60" t="str">
        <x:v>Continuar con datos válidos</x:v>
      </x:c>
      <x:c r="D75" s="60" t="str">
        <x:v>CHK-004</x:v>
      </x:c>
      <x:c r="E75" s="60" t="str">
        <x:v>Alta</x:v>
      </x:c>
      <x:c r="F75" s="60" t="str">
        <x:v>Positiva</x:v>
      </x:c>
      <x:c r="G75" s="54"/>
      <x:c r="H75" s="54"/>
      <x:c r="I75" s="54"/>
      <x:c r="J75" s="54"/>
      <x:c r="K75" s="54"/>
      <x:c r="L75" s="54"/>
      <x:c r="M75" s="54"/>
      <x:c r="N75" s="54"/>
    </x:row>
    <x:row r="76" ht="38" customHeight="1">
      <x:c r="A76" s="60" t="str">
        <x:v>Checkout</x:v>
      </x:c>
      <x:c r="B76" s="60" t="str">
        <x:v>Cancelación de información</x:v>
      </x:c>
      <x:c r="C76" s="60" t="str">
        <x:v>Cancelar desde Checkout: Your Information</x:v>
      </x:c>
      <x:c r="D76" s="60" t="str">
        <x:v>CHK-005</x:v>
      </x:c>
      <x:c r="E76" s="60" t="str">
        <x:v>Media</x:v>
      </x:c>
      <x:c r="F76" s="60" t="str">
        <x:v>Positiva</x:v>
      </x:c>
      <x:c r="G76" s="54"/>
      <x:c r="H76" s="54"/>
      <x:c r="I76" s="54"/>
      <x:c r="J76" s="54"/>
      <x:c r="K76" s="54"/>
      <x:c r="L76" s="54"/>
      <x:c r="M76" s="54"/>
      <x:c r="N76" s="54"/>
    </x:row>
    <x:row r="77" ht="38" customHeight="1">
      <x:c r="A77" s="60" t="str">
        <x:v>Checkout</x:v>
      </x:c>
      <x:c r="B77" s="60" t="str">
        <x:v>Persistencia del carrito</x:v>
      </x:c>
      <x:c r="C77" s="60" t="str">
        <x:v>Conservar el contador durante el ingreso de información</x:v>
      </x:c>
      <x:c r="D77" s="60" t="str">
        <x:v>CHK-006</x:v>
      </x:c>
      <x:c r="E77" s="60" t="str">
        <x:v>Media</x:v>
      </x:c>
      <x:c r="F77" s="60" t="str">
        <x:v>Validación</x:v>
      </x:c>
      <x:c r="G77" s="54"/>
      <x:c r="H77" s="54"/>
      <x:c r="I77" s="54"/>
      <x:c r="J77" s="54"/>
      <x:c r="K77" s="54"/>
      <x:c r="L77" s="54"/>
      <x:c r="M77" s="54"/>
      <x:c r="N77" s="54"/>
    </x:row>
    <x:row r="78" ht="38" customHeight="1">
      <x:c r="A78" s="60" t="str">
        <x:v>Resumen de compra</x:v>
      </x:c>
      <x:c r="B78" s="60" t="str">
        <x:v>Productos de la orden</x:v>
      </x:c>
      <x:c r="C78" s="60" t="str">
        <x:v>Validar productos en Checkout: Overview</x:v>
      </x:c>
      <x:c r="D78" s="60" t="str">
        <x:v>CMP-001</x:v>
      </x:c>
      <x:c r="E78" s="60" t="str">
        <x:v>Alta</x:v>
      </x:c>
      <x:c r="F78" s="60" t="str">
        <x:v>Validación</x:v>
      </x:c>
      <x:c r="G78" s="54"/>
      <x:c r="H78" s="54"/>
      <x:c r="I78" s="54"/>
      <x:c r="J78" s="54"/>
      <x:c r="K78" s="54"/>
      <x:c r="L78" s="54"/>
      <x:c r="M78" s="54"/>
      <x:c r="N78" s="54"/>
    </x:row>
    <x:row r="79" ht="38" customHeight="1">
      <x:c r="A79" s="60" t="str">
        <x:v>Resumen de compra</x:v>
      </x:c>
      <x:c r="B79" s="60" t="str">
        <x:v>Información de pago</x:v>
      </x:c>
      <x:c r="C79" s="60" t="str">
        <x:v>Validar información de pago</x:v>
      </x:c>
      <x:c r="D79" s="60" t="str">
        <x:v>CMP-002</x:v>
      </x:c>
      <x:c r="E79" s="60" t="str">
        <x:v>Media</x:v>
      </x:c>
      <x:c r="F79" s="60" t="str">
        <x:v>Validación</x:v>
      </x:c>
      <x:c r="G79" s="54"/>
      <x:c r="H79" s="54"/>
      <x:c r="I79" s="54"/>
      <x:c r="J79" s="54"/>
      <x:c r="K79" s="54"/>
      <x:c r="L79" s="54"/>
      <x:c r="M79" s="54"/>
      <x:c r="N79" s="54"/>
    </x:row>
    <x:row r="80" ht="38" customHeight="1">
      <x:c r="A80" s="60" t="str">
        <x:v>Resumen de compra</x:v>
      </x:c>
      <x:c r="B80" s="60" t="str">
        <x:v>Información de envío</x:v>
      </x:c>
      <x:c r="C80" s="60" t="str">
        <x:v>Validar información de envío</x:v>
      </x:c>
      <x:c r="D80" s="60" t="str">
        <x:v>CMP-003</x:v>
      </x:c>
      <x:c r="E80" s="60" t="str">
        <x:v>Media</x:v>
      </x:c>
      <x:c r="F80" s="60" t="str">
        <x:v>Validación</x:v>
      </x:c>
      <x:c r="G80" s="54"/>
      <x:c r="H80" s="54"/>
      <x:c r="I80" s="54"/>
      <x:c r="J80" s="54"/>
      <x:c r="K80" s="54"/>
      <x:c r="L80" s="54"/>
      <x:c r="M80" s="54"/>
      <x:c r="N80" s="54"/>
    </x:row>
    <x:row r="81" ht="38" customHeight="1">
      <x:c r="A81" s="60" t="str">
        <x:v>Resumen de compra</x:v>
      </x:c>
      <x:c r="B81" s="60" t="str">
        <x:v>Cálculo de subtotal</x:v>
      </x:c>
      <x:c r="C81" s="60" t="str">
        <x:v>Validar Item total de la compra</x:v>
      </x:c>
      <x:c r="D81" s="60" t="str">
        <x:v>CMP-004</x:v>
      </x:c>
      <x:c r="E81" s="60" t="str">
        <x:v>Alta</x:v>
      </x:c>
      <x:c r="F81" s="60" t="str">
        <x:v>Validación</x:v>
      </x:c>
      <x:c r="G81" s="54"/>
      <x:c r="H81" s="54"/>
      <x:c r="I81" s="54"/>
      <x:c r="J81" s="54"/>
      <x:c r="K81" s="54"/>
      <x:c r="L81" s="54"/>
      <x:c r="M81" s="54"/>
      <x:c r="N81" s="54"/>
    </x:row>
    <x:row r="82" ht="38" customHeight="1">
      <x:c r="A82" s="60" t="str">
        <x:v>Resumen de compra</x:v>
      </x:c>
      <x:c r="B82" s="60" t="str">
        <x:v>Cálculo de impuestos</x:v>
      </x:c>
      <x:c r="C82" s="60" t="str">
        <x:v>Validar Tax de la compra</x:v>
      </x:c>
      <x:c r="D82" s="60" t="str">
        <x:v>CMP-005</x:v>
      </x:c>
      <x:c r="E82" s="60" t="str">
        <x:v>Alta</x:v>
      </x:c>
      <x:c r="F82" s="60" t="str">
        <x:v>Validación</x:v>
      </x:c>
      <x:c r="G82" s="54"/>
      <x:c r="H82" s="54"/>
      <x:c r="I82" s="54"/>
      <x:c r="J82" s="54"/>
      <x:c r="K82" s="54"/>
      <x:c r="L82" s="54"/>
      <x:c r="M82" s="54"/>
      <x:c r="N82" s="54"/>
    </x:row>
    <x:row r="83" ht="38" customHeight="1">
      <x:c r="A83" s="60" t="str">
        <x:v>Resumen de compra</x:v>
      </x:c>
      <x:c r="B83" s="60" t="str">
        <x:v>Cálculo del total</x:v>
      </x:c>
      <x:c r="C83" s="60" t="str">
        <x:v>Validar Total de la compra</x:v>
      </x:c>
      <x:c r="D83" s="60" t="str">
        <x:v>CMP-006</x:v>
      </x:c>
      <x:c r="E83" s="60" t="str">
        <x:v>Alta</x:v>
      </x:c>
      <x:c r="F83" s="60" t="str">
        <x:v>Validación</x:v>
      </x:c>
      <x:c r="G83" s="54"/>
      <x:c r="H83" s="54"/>
      <x:c r="I83" s="54"/>
      <x:c r="J83" s="54"/>
      <x:c r="K83" s="54"/>
      <x:c r="L83" s="54"/>
      <x:c r="M83" s="54"/>
      <x:c r="N83" s="54"/>
    </x:row>
    <x:row r="84" ht="38" customHeight="1">
      <x:c r="A84" s="60" t="str">
        <x:v>Resumen de compra</x:v>
      </x:c>
      <x:c r="B84" s="60" t="str">
        <x:v>Cancelación de la compra</x:v>
      </x:c>
      <x:c r="C84" s="60" t="str">
        <x:v>Cancelar desde Checkout: Overview</x:v>
      </x:c>
      <x:c r="D84" s="60" t="str">
        <x:v>CMP-007</x:v>
      </x:c>
      <x:c r="E84" s="60" t="str">
        <x:v>Media</x:v>
      </x:c>
      <x:c r="F84" s="60" t="str">
        <x:v>Positiva</x:v>
      </x:c>
      <x:c r="G84" s="54"/>
      <x:c r="H84" s="54"/>
      <x:c r="I84" s="54"/>
      <x:c r="J84" s="54"/>
      <x:c r="K84" s="54"/>
      <x:c r="L84" s="54"/>
      <x:c r="M84" s="54"/>
      <x:c r="N84" s="54"/>
    </x:row>
    <x:row r="85" ht="38" customHeight="1">
      <x:c r="A85" s="60" t="str">
        <x:v>Resumen de compra</x:v>
      </x:c>
      <x:c r="B85" s="60" t="str">
        <x:v>Confirmación de la compra</x:v>
      </x:c>
      <x:c r="C85" s="60" t="str">
        <x:v>Finalizar desde Checkout: Overview</x:v>
      </x:c>
      <x:c r="D85" s="60" t="str">
        <x:v>CMP-008</x:v>
      </x:c>
      <x:c r="E85" s="60" t="str">
        <x:v>Alta</x:v>
      </x:c>
      <x:c r="F85" s="60" t="str">
        <x:v>Positiva</x:v>
      </x:c>
      <x:c r="G85" s="54"/>
      <x:c r="H85" s="54"/>
      <x:c r="I85" s="54"/>
      <x:c r="J85" s="54"/>
      <x:c r="K85" s="54"/>
      <x:c r="L85" s="54"/>
      <x:c r="M85" s="54"/>
      <x:c r="N85" s="54"/>
    </x:row>
    <x:row r="86" ht="38" customHeight="1">
      <x:c r="A86" s="60" t="str">
        <x:v>Finalización de compra</x:v>
      </x:c>
      <x:c r="B86" s="60" t="str">
        <x:v>Confirmación de orden</x:v>
      </x:c>
      <x:c r="C86" s="60" t="str">
        <x:v>Validar mensaje de compra completada</x:v>
      </x:c>
      <x:c r="D86" s="60" t="str">
        <x:v>FIN-001</x:v>
      </x:c>
      <x:c r="E86" s="60" t="str">
        <x:v>Alta</x:v>
      </x:c>
      <x:c r="F86" s="60" t="str">
        <x:v>Validación</x:v>
      </x:c>
      <x:c r="G86" s="54"/>
      <x:c r="H86" s="54"/>
      <x:c r="I86" s="54"/>
      <x:c r="J86" s="54"/>
      <x:c r="K86" s="54"/>
      <x:c r="L86" s="54"/>
      <x:c r="M86" s="54"/>
      <x:c r="N86" s="54"/>
    </x:row>
    <x:row r="87" ht="38" customHeight="1">
      <x:c r="A87" s="60" t="str">
        <x:v>Finalización de compra</x:v>
      </x:c>
      <x:c r="B87" s="60" t="str">
        <x:v>Retorno al catálogo</x:v>
      </x:c>
      <x:c r="C87" s="60" t="str">
        <x:v>Volver a Products mediante Back Home</x:v>
      </x:c>
      <x:c r="D87" s="60" t="str">
        <x:v>FIN-002</x:v>
      </x:c>
      <x:c r="E87" s="60" t="str">
        <x:v>Media</x:v>
      </x:c>
      <x:c r="F87" s="60" t="str">
        <x:v>Positiva</x:v>
      </x:c>
      <x:c r="G87" s="54"/>
      <x:c r="H87" s="54"/>
      <x:c r="I87" s="54"/>
      <x:c r="J87" s="54"/>
      <x:c r="K87" s="54"/>
      <x:c r="L87" s="54"/>
      <x:c r="M87" s="54"/>
      <x:c r="N87" s="54"/>
    </x:row>
    <x:row r="88" ht="38" customHeight="1">
      <x:c r="A88" s="60" t="str">
        <x:v>Finalización de compra</x:v>
      </x:c>
      <x:c r="B88" s="60" t="str">
        <x:v>Comprobante de orden</x:v>
      </x:c>
      <x:c r="C88" s="60" t="str">
        <x:v>Generar comprobante PDF de la orden</x:v>
      </x:c>
      <x:c r="D88" s="60" t="str">
        <x:v>FIN-003</x:v>
      </x:c>
      <x:c r="E88" s="60" t="str">
        <x:v>Media</x:v>
      </x:c>
      <x:c r="F88" s="60" t="str">
        <x:v>Validación</x:v>
      </x:c>
      <x:c r="G88" s="54"/>
      <x:c r="H88" s="54"/>
      <x:c r="I88" s="54"/>
      <x:c r="J88" s="54"/>
      <x:c r="K88" s="54"/>
      <x:c r="L88" s="54"/>
      <x:c r="M88" s="54"/>
      <x:c r="N88" s="54"/>
    </x:row>
    <x:row r="89" ht="38" customHeight="1">
      <x:c r="A89" s="60" t="str">
        <x:v>Menú lateral</x:v>
      </x:c>
      <x:c r="B89" s="60" t="str">
        <x:v>Apertura del menú</x:v>
      </x:c>
      <x:c r="C89" s="60" t="str">
        <x:v>Mostrar opciones del menú lateral</x:v>
      </x:c>
      <x:c r="D89" s="60" t="str">
        <x:v>MNU-001</x:v>
      </x:c>
      <x:c r="E89" s="60" t="str">
        <x:v>Media</x:v>
      </x:c>
      <x:c r="F89" s="60" t="str">
        <x:v>Validación</x:v>
      </x:c>
      <x:c r="G89" s="54"/>
      <x:c r="H89" s="54"/>
      <x:c r="I89" s="54"/>
      <x:c r="J89" s="54"/>
      <x:c r="K89" s="54"/>
      <x:c r="L89" s="54"/>
      <x:c r="M89" s="54"/>
      <x:c r="N89" s="54"/>
    </x:row>
    <x:row r="90" ht="38" customHeight="1">
      <x:c r="A90" s="60" t="str">
        <x:v>Menú lateral</x:v>
      </x:c>
      <x:c r="B90" s="60" t="str">
        <x:v>Cierre del menú</x:v>
      </x:c>
      <x:c r="C90" s="60" t="str">
        <x:v>Cerrar el menú lateral</x:v>
      </x:c>
      <x:c r="D90" s="60" t="str">
        <x:v>MNU-002</x:v>
      </x:c>
      <x:c r="E90" s="60" t="str">
        <x:v>Baja</x:v>
      </x:c>
      <x:c r="F90" s="60" t="str">
        <x:v>Validación</x:v>
      </x:c>
      <x:c r="G90" s="54"/>
      <x:c r="H90" s="54"/>
      <x:c r="I90" s="54"/>
      <x:c r="J90" s="54"/>
      <x:c r="K90" s="54"/>
      <x:c r="L90" s="54"/>
      <x:c r="M90" s="54"/>
      <x:c r="N90" s="54"/>
    </x:row>
    <x:row r="91" ht="38" customHeight="1">
      <x:c r="A91" s="60" t="str">
        <x:v>Menú lateral</x:v>
      </x:c>
      <x:c r="B91" s="60" t="str">
        <x:v>Navegación a productos</x:v>
      </x:c>
      <x:c r="C91" s="60" t="str">
        <x:v>Abrir All Items desde otra pantalla</x:v>
      </x:c>
      <x:c r="D91" s="60" t="str">
        <x:v>MNU-003</x:v>
      </x:c>
      <x:c r="E91" s="60" t="str">
        <x:v>Media</x:v>
      </x:c>
      <x:c r="F91" s="60" t="str">
        <x:v>Positiva</x:v>
      </x:c>
      <x:c r="G91" s="54"/>
      <x:c r="H91" s="54"/>
      <x:c r="I91" s="54"/>
      <x:c r="J91" s="54"/>
      <x:c r="K91" s="54"/>
      <x:c r="L91" s="54"/>
      <x:c r="M91" s="54"/>
      <x:c r="N91" s="54"/>
    </x:row>
    <x:row r="92" ht="38" customHeight="1">
      <x:c r="A92" s="60" t="str">
        <x:v>Menú lateral</x:v>
      </x:c>
      <x:c r="B92" s="60" t="str">
        <x:v>Navegación externa</x:v>
      </x:c>
      <x:c r="C92" s="60" t="str">
        <x:v>Abrir About</x:v>
      </x:c>
      <x:c r="D92" s="60" t="str">
        <x:v>MNU-004</x:v>
      </x:c>
      <x:c r="E92" s="60" t="str">
        <x:v>Baja</x:v>
      </x:c>
      <x:c r="F92" s="60" t="str">
        <x:v>Validación</x:v>
      </x:c>
      <x:c r="G92" s="54"/>
      <x:c r="H92" s="54"/>
      <x:c r="I92" s="54"/>
      <x:c r="J92" s="54"/>
      <x:c r="K92" s="54"/>
      <x:c r="L92" s="54"/>
      <x:c r="M92" s="54"/>
      <x:c r="N92" s="54"/>
    </x:row>
    <x:row r="93" ht="38" customHeight="1">
      <x:c r="A93" s="60" t="str">
        <x:v>Menú lateral</x:v>
      </x:c>
      <x:c r="B93" s="60" t="str">
        <x:v>Restablecimiento de estado</x:v>
      </x:c>
      <x:c r="C93" s="60" t="str">
        <x:v>Restablecer el estado del carrito</x:v>
      </x:c>
      <x:c r="D93" s="60" t="str">
        <x:v>MNU-005</x:v>
      </x:c>
      <x:c r="E93" s="60" t="str">
        <x:v>Alta</x:v>
      </x:c>
      <x:c r="F93" s="60" t="str">
        <x:v>Positiva</x:v>
      </x:c>
      <x:c r="G93" s="54"/>
      <x:c r="H93" s="54"/>
      <x:c r="I93" s="54"/>
      <x:c r="J93" s="54"/>
      <x:c r="K93" s="54"/>
      <x:c r="L93" s="54"/>
      <x:c r="M93" s="54"/>
      <x:c r="N93" s="54"/>
    </x:row>
    <x:row r="94" ht="38" customHeight="1">
      <x:c r="A94" s="60" t="str">
        <x:v>Logout</x:v>
      </x:c>
      <x:c r="B94" s="60" t="str">
        <x:v>Cierre de sesión</x:v>
      </x:c>
      <x:c r="C94" s="60" t="str">
        <x:v>Cerrar sesión desde el menú lateral</x:v>
      </x:c>
      <x:c r="D94" s="60" t="str">
        <x:v>LGT-001</x:v>
      </x:c>
      <x:c r="E94" s="60" t="str">
        <x:v>Alta</x:v>
      </x:c>
      <x:c r="F94" s="60" t="str">
        <x:v>Positiva</x:v>
      </x:c>
      <x:c r="G94" s="54"/>
      <x:c r="H94" s="54"/>
      <x:c r="I94" s="54"/>
      <x:c r="J94" s="54"/>
      <x:c r="K94" s="54"/>
      <x:c r="L94" s="54"/>
      <x:c r="M94" s="54"/>
      <x:c r="N94" s="54"/>
    </x:row>
    <x:row r="95" ht="38" customHeight="1">
      <x:c r="A95" s="60" t="str">
        <x:v>Logout</x:v>
      </x:c>
      <x:c r="B95" s="60" t="str">
        <x:v>Protección de rutas</x:v>
      </x:c>
      <x:c r="C95" s="60" t="str">
        <x:v>Intentar acceder a Products sin sesión activa</x:v>
      </x:c>
      <x:c r="D95" s="60" t="str">
        <x:v>LGT-002</x:v>
      </x:c>
      <x:c r="E95" s="60" t="str">
        <x:v>Alta</x:v>
      </x:c>
      <x:c r="F95" s="60" t="str">
        <x:v>Negativa</x:v>
      </x:c>
      <x:c r="G95" s="54"/>
      <x:c r="H95" s="54"/>
      <x:c r="I95" s="54"/>
      <x:c r="J95" s="54"/>
      <x:c r="K95" s="54"/>
      <x:c r="L95" s="54"/>
      <x:c r="M95" s="54"/>
      <x:c r="N95" s="54"/>
    </x:row>
  </x:sheetData>
  <x:mergeCells>
    <x:mergeCell ref="A1:N2"/>
    <x:mergeCell ref="A15:N15"/>
    <x:mergeCell ref="A25:F25"/>
    <x:mergeCell ref="A36:F36"/>
  </x:mergeCells>
  <x:conditionalFormatting sqref="E38:E95">
    <x:cfRule type="containsText" dxfId="10" priority="1" operator="containsText" text="Alta"/>
    <x:cfRule type="containsText" dxfId="11" priority="2" operator="containsText" text="Media"/>
    <x:cfRule type="containsText" dxfId="12" priority="3" operator="containsText" text="Baja"/>
  </x:conditionalFormatting>
  <x:pageMargins left="0.7" right="0.7" top="0.75" bottom="0.75" header="0.3" footer="0.3"/>
  <x:drawing xmlns:r="http://schemas.openxmlformats.org/officeDocument/2006/relationships" r:id="Ra9cf048efdf44b1d"/>
  <x:tableParts count="1">
    <x:tablePart xmlns:r="http://schemas.openxmlformats.org/officeDocument/2006/relationships" r:id="R6ca69c9a8dd54dd0"/>
  </x:tableParts>
</x:worksheet>
</file>